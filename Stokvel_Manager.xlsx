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  <sheet name="Contributions" sheetId="2" state="visible" r:id="rId4"/>
    <sheet name="Payout Rotatio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<sst xmlns="http://schemas.openxmlformats.org/spreadsheetml/2006/main" count="62" uniqueCount="59">
  <si>
    <t xml:space="preserve">STOKVEL MEMBER REGISTER</t>
  </si>
  <si>
    <t xml:space="preserve">Fill in every member once. The Contributions and Payouts sheets use these names. Monthly amount is what each member must pay in.</t>
  </si>
  <si>
    <t xml:space="preserve">No.</t>
  </si>
  <si>
    <t xml:space="preserve">Member Name</t>
  </si>
  <si>
    <t xml:space="preserve">Phone</t>
  </si>
  <si>
    <t xml:space="preserve">Email</t>
  </si>
  <si>
    <t xml:space="preserve">Monthly Amount</t>
  </si>
  <si>
    <t xml:space="preserve">Date Joined</t>
  </si>
  <si>
    <t xml:space="preserve">Nomsa Dlamini (example - type over)</t>
  </si>
  <si>
    <t xml:space="preserve">072 123 4567</t>
  </si>
  <si>
    <t xml:space="preserve">nomsa@email.com</t>
  </si>
  <si>
    <t xml:space="preserve">2026-01-15</t>
  </si>
  <si>
    <t xml:space="preserve">TOTAL EXPECTED PER MONTH</t>
  </si>
  <si>
    <t xml:space="preserve">MONTHLY CONTRIBUTIONS TRACKER</t>
  </si>
  <si>
    <t xml:space="preserve">Enter the amount each member pays each month. Totals, expected amount and shortfall calculate automatically. Leave blank if not yet paid.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</si>
  <si>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</si>
  <si>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</si>
  <si>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</si>
  <si>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</si>
  <si>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</si>
  <si>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</si>
  <si>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</si>
  <si>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</si>
  <si>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</si>
  <si>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</si>
  <si>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</si>
  <si>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</si>
  <si>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Paid</t>
  </si>
  <si>
    <t xml:space="preserve">Expected</t>
  </si>
  <si>
    <t xml:space="preserve">Shortfall</t>
  </si>
  <si>
    <t xml:space="preserve">TOTALS</t>
  </si>
  <si>
    <t xml:space="preserve">PAYOUT ROTATION SCHEDULE</t>
  </si>
  <si>
    <t xml:space="preserve">Set the order members receive their payout. Mark Paid as YES once the money has been handed over. Keep this signed if possible.</t>
  </si>
  <si>
    <t xml:space="preserve">Turn</t>
  </si>
  <si>
    <t xml:space="preserve">Payout Month</t>
  </si>
  <si>
    <t xml:space="preserve">Amount Due</t>
  </si>
  <si>
    <t xml:space="preserve">Paid? (YES/NO)</t>
  </si>
  <si>
    <t xml:space="preserve">Notes</t>
  </si>
  <si>
    <t xml:space="preserve">Nomsa Dlamini</t>
  </si>
  <si>
    <t xml:space="preserve">January</t>
  </si>
  <si>
    <t xml:space="preserve">NO</t>
  </si>
  <si>
    <t xml:space="preserve">Example row - type over it</t>
  </si>
  <si>
    <t xml:space="preserve">TOTAL PAID OUT</t>
  </si>
  <si>
    <t xml:space="preserve">STOKVEL SUMMARY</t>
  </si>
  <si>
    <t xml:space="preserve">  GROUP DETAILS</t>
  </si>
  <si>
    <t xml:space="preserve">Stokvel Name</t>
  </si>
  <si>
    <t xml:space="preserve">[Your Stokvel Name]</t>
  </si>
  <si>
    <t xml:space="preserve">Treasurer</t>
  </si>
  <si>
    <t xml:space="preserve">[Name]</t>
  </si>
  <si>
    <t xml:space="preserve">Year</t>
  </si>
  <si>
    <t xml:space="preserve">2026</t>
  </si>
  <si>
    <t xml:space="preserve">Number of Members</t>
  </si>
  <si>
    <t xml:space="preserve">  MONEY</t>
  </si>
  <si>
    <t xml:space="preserve">Total Contributions Received</t>
  </si>
  <si>
    <t xml:space="preserve">Total Expected for the Year</t>
  </si>
  <si>
    <t xml:space="preserve">Total Outstanding (Shortfall)</t>
  </si>
  <si>
    <t xml:space="preserve">Total Paid Out to Members</t>
  </si>
  <si>
    <t xml:space="preserve">CASH ON HAND</t>
  </si>
  <si>
    <t xml:space="preserve">Cash on hand = money received minus money paid out. Check this against your bank balance every month.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</si>
</sst>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10"/>
      <color rgb="FF5A6B7D"/>
      <name val="Arial"/>
      <family val="0"/>
      <charset val="1"/>
    </font>
    <font>
      <sz val="10"/>
      <color rgb="FF0F1E33"/>
      <name val="Arial"/>
      <family val="0"/>
      <charset val="1"/>
    </font>
    <font>
      <b val="true"/>
      <sz val="11"/>
      <color rgb="FFC8A4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8A44D"/>
      <name val="Arial"/>
      <family val="0"/>
      <charset val="1"/>
    </font>
    <font>
      <b val="true"/>
      <sz val="10"/>
      <color rgb="FF0F1E33"/>
      <name val="Arial"/>
      <family val="0"/>
      <charset val="1"/>
    </font>
    <font>
      <sz val="10"/>
      <color rgb="FF5A6B7D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E33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C8A44D"/>
      <rgbColor rgb="FF0F1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3" t="s">
        <v>7</v>
      </c>
    </row>
    <row r="4" customFormat="false" ht="18.75" hidden="false" customHeight="true" outlineLevel="0" collapsed="false">
      <c r="A4" s="6" t="n">
        <v>1</v>
      </c>
      <c r="B4" s="7" t="s">
        <v>8</v>
      </c>
      <c r="C4" s="7" t="s">
        <v>9</v>
      </c>
      <c r="D4" s="7" t="s">
        <v>10</v>
      </c>
      <c r="E4" s="8"/>
      <c r="F4" s="6" t="s">
        <v>11</v>
      </c>
    </row>
    <row r="5" customFormat="false" ht="18.75" hidden="false" customHeight="true" outlineLevel="0" collapsed="false">
      <c r="A5" s="9" t="n">
        <v>2</v>
      </c>
      <c r="B5" s="10"/>
      <c r="C5" s="10"/>
      <c r="D5" s="10"/>
      <c r="E5" s="11"/>
      <c r="F5" s="9"/>
    </row>
    <row r="6" customFormat="false" ht="18.75" hidden="false" customHeight="true" outlineLevel="0" collapsed="false">
      <c r="A6" s="12" t="n">
        <v>3</v>
      </c>
      <c r="B6" s="13"/>
      <c r="C6" s="13"/>
      <c r="D6" s="13"/>
      <c r="E6" s="14"/>
      <c r="F6" s="12"/>
    </row>
    <row r="7" customFormat="false" ht="18.75" hidden="false" customHeight="true" outlineLevel="0" collapsed="false">
      <c r="A7" s="9" t="n">
        <v>4</v>
      </c>
      <c r="B7" s="10"/>
      <c r="C7" s="10"/>
      <c r="D7" s="10"/>
      <c r="E7" s="11"/>
      <c r="F7" s="9"/>
    </row>
    <row r="8" customFormat="false" ht="18.75" hidden="false" customHeight="true" outlineLevel="0" collapsed="false">
      <c r="A8" s="12" t="n">
        <v>5</v>
      </c>
      <c r="B8" s="13"/>
      <c r="C8" s="13"/>
      <c r="D8" s="13"/>
      <c r="E8" s="14"/>
      <c r="F8" s="12"/>
    </row>
    <row r="9" customFormat="false" ht="18.75" hidden="false" customHeight="true" outlineLevel="0" collapsed="false">
      <c r="A9" s="9" t="n">
        <v>6</v>
      </c>
      <c r="B9" s="10"/>
      <c r="C9" s="10"/>
      <c r="D9" s="10"/>
      <c r="E9" s="11"/>
      <c r="F9" s="9"/>
    </row>
    <row r="10" customFormat="false" ht="18.75" hidden="false" customHeight="true" outlineLevel="0" collapsed="false">
      <c r="A10" s="12" t="n">
        <v>7</v>
      </c>
      <c r="B10" s="13"/>
      <c r="C10" s="13"/>
      <c r="D10" s="13"/>
      <c r="E10" s="14"/>
      <c r="F10" s="12"/>
    </row>
    <row r="11" customFormat="false" ht="18.75" hidden="false" customHeight="true" outlineLevel="0" collapsed="false">
      <c r="A11" s="9" t="n">
        <v>8</v>
      </c>
      <c r="B11" s="10"/>
      <c r="C11" s="10"/>
      <c r="D11" s="10"/>
      <c r="E11" s="11"/>
      <c r="F11" s="9"/>
    </row>
    <row r="12" customFormat="false" ht="18.75" hidden="false" customHeight="true" outlineLevel="0" collapsed="false">
      <c r="A12" s="12" t="n">
        <v>9</v>
      </c>
      <c r="B12" s="13"/>
      <c r="C12" s="13"/>
      <c r="D12" s="13"/>
      <c r="E12" s="14"/>
      <c r="F12" s="12"/>
    </row>
    <row r="13" customFormat="false" ht="18.75" hidden="false" customHeight="true" outlineLevel="0" collapsed="false">
      <c r="A13" s="9" t="n">
        <v>10</v>
      </c>
      <c r="B13" s="10"/>
      <c r="C13" s="10"/>
      <c r="D13" s="10"/>
      <c r="E13" s="11"/>
      <c r="F13" s="9"/>
    </row>
    <row r="14" customFormat="false" ht="18.75" hidden="false" customHeight="true" outlineLevel="0" collapsed="false">
      <c r="A14" s="12" t="n">
        <v>11</v>
      </c>
      <c r="B14" s="13"/>
      <c r="C14" s="13"/>
      <c r="D14" s="13"/>
      <c r="E14" s="14"/>
      <c r="F14" s="12"/>
    </row>
    <row r="15" customFormat="false" ht="18.75" hidden="false" customHeight="true" outlineLevel="0" collapsed="false">
      <c r="A15" s="9" t="n">
        <v>12</v>
      </c>
      <c r="B15" s="10"/>
      <c r="C15" s="10"/>
      <c r="D15" s="10"/>
      <c r="E15" s="11"/>
      <c r="F15" s="9"/>
    </row>
    <row r="16" customFormat="false" ht="18.75" hidden="false" customHeight="true" outlineLevel="0" collapsed="false">
      <c r="A16" s="12" t="n">
        <v>13</v>
      </c>
      <c r="B16" s="13"/>
      <c r="C16" s="13"/>
      <c r="D16" s="13"/>
      <c r="E16" s="14"/>
      <c r="F16" s="12"/>
    </row>
    <row r="17" customFormat="false" ht="18.75" hidden="false" customHeight="true" outlineLevel="0" collapsed="false">
      <c r="A17" s="9" t="n">
        <v>14</v>
      </c>
      <c r="B17" s="10"/>
      <c r="C17" s="10"/>
      <c r="D17" s="10"/>
      <c r="E17" s="11"/>
      <c r="F17" s="9"/>
    </row>
    <row r="18" customFormat="false" ht="18.75" hidden="false" customHeight="true" outlineLevel="0" collapsed="false">
      <c r="A18" s="12" t="n">
        <v>15</v>
      </c>
      <c r="B18" s="13"/>
      <c r="C18" s="13"/>
      <c r="D18" s="13"/>
      <c r="E18" s="14"/>
      <c r="F18" s="12"/>
    </row>
    <row r="19" customFormat="false" ht="18.75" hidden="false" customHeight="true" outlineLevel="0" collapsed="false">
      <c r="A19" s="9" t="n">
        <v>16</v>
      </c>
      <c r="B19" s="10"/>
      <c r="C19" s="10"/>
      <c r="D19" s="10"/>
      <c r="E19" s="11"/>
      <c r="F19" s="9"/>
    </row>
    <row r="20" customFormat="false" ht="18.75" hidden="false" customHeight="true" outlineLevel="0" collapsed="false">
      <c r="A20" s="12" t="n">
        <v>17</v>
      </c>
      <c r="B20" s="13"/>
      <c r="C20" s="13"/>
      <c r="D20" s="13"/>
      <c r="E20" s="14"/>
      <c r="F20" s="12"/>
    </row>
    <row r="21" customFormat="false" ht="18.75" hidden="false" customHeight="true" outlineLevel="0" collapsed="false">
      <c r="A21" s="9" t="n">
        <v>18</v>
      </c>
      <c r="B21" s="10"/>
      <c r="C21" s="10"/>
      <c r="D21" s="10"/>
      <c r="E21" s="11"/>
      <c r="F21" s="9"/>
    </row>
    <row r="22" customFormat="false" ht="18.75" hidden="false" customHeight="true" outlineLevel="0" collapsed="false">
      <c r="A22" s="12" t="n">
        <v>19</v>
      </c>
      <c r="B22" s="13"/>
      <c r="C22" s="13"/>
      <c r="D22" s="13"/>
      <c r="E22" s="14"/>
      <c r="F22" s="12"/>
    </row>
    <row r="23" customFormat="false" ht="18.75" hidden="false" customHeight="true" outlineLevel="0" collapsed="false">
      <c r="A23" s="9" t="n">
        <v>20</v>
      </c>
      <c r="B23" s="10"/>
      <c r="C23" s="10"/>
      <c r="D23" s="10"/>
      <c r="E23" s="11"/>
      <c r="F23" s="9"/>
    </row>
    <row r="24" customFormat="false" ht="18.75" hidden="false" customHeight="true" outlineLevel="0" collapsed="false">
      <c r="A24" s="12" t="n">
        <v>21</v>
      </c>
      <c r="B24" s="13"/>
      <c r="C24" s="13"/>
      <c r="D24" s="13"/>
      <c r="E24" s="14"/>
      <c r="F24" s="12"/>
    </row>
    <row r="25" customFormat="false" ht="18.75" hidden="false" customHeight="true" outlineLevel="0" collapsed="false">
      <c r="A25" s="9" t="n">
        <v>22</v>
      </c>
      <c r="B25" s="10"/>
      <c r="C25" s="10"/>
      <c r="D25" s="10"/>
      <c r="E25" s="11"/>
      <c r="F25" s="9"/>
    </row>
    <row r="26" customFormat="false" ht="18.75" hidden="false" customHeight="true" outlineLevel="0" collapsed="false">
      <c r="A26" s="12" t="n">
        <v>23</v>
      </c>
      <c r="B26" s="13"/>
      <c r="C26" s="13"/>
      <c r="D26" s="13"/>
      <c r="E26" s="14"/>
      <c r="F26" s="12"/>
    </row>
    <row r="27" customFormat="false" ht="18.75" hidden="false" customHeight="true" outlineLevel="0" collapsed="false">
      <c r="A27" s="9" t="n">
        <v>24</v>
      </c>
      <c r="B27" s="10"/>
      <c r="C27" s="10"/>
      <c r="D27" s="10"/>
      <c r="E27" s="11"/>
      <c r="F27" s="9"/>
    </row>
    <row r="28" customFormat="false" ht="18.75" hidden="false" customHeight="true" outlineLevel="0" collapsed="false">
      <c r="A28" s="12" t="n">
        <v>25</v>
      </c>
      <c r="B28" s="13"/>
      <c r="C28" s="13"/>
      <c r="D28" s="13"/>
      <c r="E28" s="14"/>
      <c r="F28" s="12"/>
    </row>
    <row r="29" customFormat="false" ht="18.75" hidden="false" customHeight="true" outlineLevel="0" collapsed="false">
      <c r="A29" s="9" t="n">
        <v>26</v>
      </c>
      <c r="B29" s="10"/>
      <c r="C29" s="10"/>
      <c r="D29" s="10"/>
      <c r="E29" s="11"/>
      <c r="F29" s="9"/>
    </row>
    <row r="30" customFormat="false" ht="18.75" hidden="false" customHeight="true" outlineLevel="0" collapsed="false">
      <c r="A30" s="12" t="n">
        <v>27</v>
      </c>
      <c r="B30" s="13"/>
      <c r="C30" s="13"/>
      <c r="D30" s="13"/>
      <c r="E30" s="14"/>
      <c r="F30" s="12"/>
    </row>
    <row r="31" customFormat="false" ht="18.75" hidden="false" customHeight="true" outlineLevel="0" collapsed="false">
      <c r="A31" s="9" t="n">
        <v>28</v>
      </c>
      <c r="B31" s="10"/>
      <c r="C31" s="10"/>
      <c r="D31" s="10"/>
      <c r="E31" s="11"/>
      <c r="F31" s="9"/>
    </row>
    <row r="32" customFormat="false" ht="18.75" hidden="false" customHeight="true" outlineLevel="0" collapsed="false">
      <c r="A32" s="12" t="n">
        <v>29</v>
      </c>
      <c r="B32" s="13"/>
      <c r="C32" s="13"/>
      <c r="D32" s="13"/>
      <c r="E32" s="14"/>
      <c r="F32" s="12"/>
    </row>
    <row r="33" customFormat="false" ht="18.75" hidden="false" customHeight="true" outlineLevel="0" collapsed="false">
      <c r="A33" s="9" t="n">
        <v>30</v>
      </c>
      <c r="B33" s="10"/>
      <c r="C33" s="10"/>
      <c r="D33" s="10"/>
      <c r="E33" s="11"/>
      <c r="F33" s="9"/>
    </row>
    <row r="34" customFormat="false" ht="25.5" hidden="false" customHeight="true" outlineLevel="0" collapsed="false">
      <c r="A34" s="15"/>
      <c r="B34" s="15"/>
      <c r="C34" s="15"/>
      <c r="D34" s="16" t="s">
        <v>12</v>
      </c>
      <c r="E34" s="17" t="n">
        <f aca="false">SUM(E4:E33)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14" min="3" style="0" width="9"/>
    <col collapsed="false" customWidth="true" hidden="false" outlineLevel="0" max="16" min="15" style="0" width="13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5.5" hidden="false" customHeight="true" outlineLevel="0" collapsed="false">
      <c r="A3" s="3" t="s">
        <v>2</v>
      </c>
      <c r="B3" s="4" t="s">
        <v>3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5" t="s">
        <v>27</v>
      </c>
      <c r="P3" s="5" t="s">
        <v>28</v>
      </c>
      <c r="Q3" s="5" t="s">
        <v>29</v>
      </c>
    </row>
    <row r="4" customFormat="false" ht="18.75" hidden="false" customHeight="true" outlineLevel="0" collapsed="false">
      <c r="A4" s="12" t="n">
        <v>1</v>
      </c>
      <c r="B4" s="13" t="str">
        <f aca="false">IF(Members!B4="","",Members!B4)</f>
        <v>Nomsa Dlamini (example - type over)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 t="n">
        <f aca="false">SUM(C4:N4)</f>
        <v>0</v>
      </c>
      <c r="P4" s="18" t="n">
        <f aca="false">IF(Members!E4="",0,Members!E4*12)</f>
        <v>0</v>
      </c>
      <c r="Q4" s="18" t="n">
        <f aca="false">MAX(0,P4-O4)</f>
        <v>0</v>
      </c>
    </row>
    <row r="5" customFormat="false" ht="18.75" hidden="false" customHeight="true" outlineLevel="0" collapsed="false">
      <c r="A5" s="9" t="n">
        <v>2</v>
      </c>
      <c r="B5" s="10" t="str">
        <f aca="false">IF(Members!B5="","",Members!B5)</f>
        <v/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 t="n">
        <f aca="false">SUM(C5:N5)</f>
        <v>0</v>
      </c>
      <c r="P5" s="19" t="n">
        <f aca="false">IF(Members!E5="",0,Members!E5*12)</f>
        <v>0</v>
      </c>
      <c r="Q5" s="19" t="n">
        <f aca="false">MAX(0,P5-O5)</f>
        <v>0</v>
      </c>
    </row>
    <row r="6" customFormat="false" ht="18.75" hidden="false" customHeight="true" outlineLevel="0" collapsed="false">
      <c r="A6" s="12" t="n">
        <v>3</v>
      </c>
      <c r="B6" s="13" t="str">
        <f aca="false">IF(Members!B6="","",Members!B6)</f>
        <v/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 t="n">
        <f aca="false">SUM(C6:N6)</f>
        <v>0</v>
      </c>
      <c r="P6" s="18" t="n">
        <f aca="false">IF(Members!E6="",0,Members!E6*12)</f>
        <v>0</v>
      </c>
      <c r="Q6" s="18" t="n">
        <f aca="false">MAX(0,P6-O6)</f>
        <v>0</v>
      </c>
    </row>
    <row r="7" customFormat="false" ht="18.75" hidden="false" customHeight="true" outlineLevel="0" collapsed="false">
      <c r="A7" s="9" t="n">
        <v>4</v>
      </c>
      <c r="B7" s="10" t="str">
        <f aca="false">IF(Members!B7="","",Members!B7)</f>
        <v/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 t="n">
        <f aca="false">SUM(C7:N7)</f>
        <v>0</v>
      </c>
      <c r="P7" s="19" t="n">
        <f aca="false">IF(Members!E7="",0,Members!E7*12)</f>
        <v>0</v>
      </c>
      <c r="Q7" s="19" t="n">
        <f aca="false">MAX(0,P7-O7)</f>
        <v>0</v>
      </c>
    </row>
    <row r="8" customFormat="false" ht="18.75" hidden="false" customHeight="true" outlineLevel="0" collapsed="false">
      <c r="A8" s="12" t="n">
        <v>5</v>
      </c>
      <c r="B8" s="13" t="str">
        <f aca="false">IF(Members!B8="","",Members!B8)</f>
        <v/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 t="n">
        <f aca="false">SUM(C8:N8)</f>
        <v>0</v>
      </c>
      <c r="P8" s="18" t="n">
        <f aca="false">IF(Members!E8="",0,Members!E8*12)</f>
        <v>0</v>
      </c>
      <c r="Q8" s="18" t="n">
        <f aca="false">MAX(0,P8-O8)</f>
        <v>0</v>
      </c>
    </row>
    <row r="9" customFormat="false" ht="18.75" hidden="false" customHeight="true" outlineLevel="0" collapsed="false">
      <c r="A9" s="9" t="n">
        <v>6</v>
      </c>
      <c r="B9" s="10" t="str">
        <f aca="false">IF(Members!B9="","",Members!B9)</f>
        <v/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 t="n">
        <f aca="false">SUM(C9:N9)</f>
        <v>0</v>
      </c>
      <c r="P9" s="19" t="n">
        <f aca="false">IF(Members!E9="",0,Members!E9*12)</f>
        <v>0</v>
      </c>
      <c r="Q9" s="19" t="n">
        <f aca="false">MAX(0,P9-O9)</f>
        <v>0</v>
      </c>
    </row>
    <row r="10" customFormat="false" ht="18.75" hidden="false" customHeight="true" outlineLevel="0" collapsed="false">
      <c r="A10" s="12" t="n">
        <v>7</v>
      </c>
      <c r="B10" s="13" t="str">
        <f aca="false">IF(Members!B10="","",Members!B10)</f>
        <v/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 t="n">
        <f aca="false">SUM(C10:N10)</f>
        <v>0</v>
      </c>
      <c r="P10" s="18" t="n">
        <f aca="false">IF(Members!E10="",0,Members!E10*12)</f>
        <v>0</v>
      </c>
      <c r="Q10" s="18" t="n">
        <f aca="false">MAX(0,P10-O10)</f>
        <v>0</v>
      </c>
    </row>
    <row r="11" customFormat="false" ht="18.75" hidden="false" customHeight="true" outlineLevel="0" collapsed="false">
      <c r="A11" s="9" t="n">
        <v>8</v>
      </c>
      <c r="B11" s="10" t="str">
        <f aca="false">IF(Members!B11="","",Members!B11)</f>
        <v/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 t="n">
        <f aca="false">SUM(C11:N11)</f>
        <v>0</v>
      </c>
      <c r="P11" s="19" t="n">
        <f aca="false">IF(Members!E11="",0,Members!E11*12)</f>
        <v>0</v>
      </c>
      <c r="Q11" s="19" t="n">
        <f aca="false">MAX(0,P11-O11)</f>
        <v>0</v>
      </c>
    </row>
    <row r="12" customFormat="false" ht="18.75" hidden="false" customHeight="true" outlineLevel="0" collapsed="false">
      <c r="A12" s="12" t="n">
        <v>9</v>
      </c>
      <c r="B12" s="13" t="str">
        <f aca="false">IF(Members!B12="","",Members!B12)</f>
        <v/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 t="n">
        <f aca="false">SUM(C12:N12)</f>
        <v>0</v>
      </c>
      <c r="P12" s="18" t="n">
        <f aca="false">IF(Members!E12="",0,Members!E12*12)</f>
        <v>0</v>
      </c>
      <c r="Q12" s="18" t="n">
        <f aca="false">MAX(0,P12-O12)</f>
        <v>0</v>
      </c>
    </row>
    <row r="13" customFormat="false" ht="18.75" hidden="false" customHeight="true" outlineLevel="0" collapsed="false">
      <c r="A13" s="9" t="n">
        <v>10</v>
      </c>
      <c r="B13" s="10" t="str">
        <f aca="false">IF(Members!B13="","",Members!B13)</f>
        <v/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 t="n">
        <f aca="false">SUM(C13:N13)</f>
        <v>0</v>
      </c>
      <c r="P13" s="19" t="n">
        <f aca="false">IF(Members!E13="",0,Members!E13*12)</f>
        <v>0</v>
      </c>
      <c r="Q13" s="19" t="n">
        <f aca="false">MAX(0,P13-O13)</f>
        <v>0</v>
      </c>
    </row>
    <row r="14" customFormat="false" ht="18.75" hidden="false" customHeight="true" outlineLevel="0" collapsed="false">
      <c r="A14" s="12" t="n">
        <v>11</v>
      </c>
      <c r="B14" s="13" t="str">
        <f aca="false">IF(Members!B14="","",Members!B14)</f>
        <v/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 t="n">
        <f aca="false">SUM(C14:N14)</f>
        <v>0</v>
      </c>
      <c r="P14" s="18" t="n">
        <f aca="false">IF(Members!E14="",0,Members!E14*12)</f>
        <v>0</v>
      </c>
      <c r="Q14" s="18" t="n">
        <f aca="false">MAX(0,P14-O14)</f>
        <v>0</v>
      </c>
    </row>
    <row r="15" customFormat="false" ht="18.75" hidden="false" customHeight="true" outlineLevel="0" collapsed="false">
      <c r="A15" s="9" t="n">
        <v>12</v>
      </c>
      <c r="B15" s="10" t="str">
        <f aca="false">IF(Members!B15="","",Members!B15)</f>
        <v/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 t="n">
        <f aca="false">SUM(C15:N15)</f>
        <v>0</v>
      </c>
      <c r="P15" s="19" t="n">
        <f aca="false">IF(Members!E15="",0,Members!E15*12)</f>
        <v>0</v>
      </c>
      <c r="Q15" s="19" t="n">
        <f aca="false">MAX(0,P15-O15)</f>
        <v>0</v>
      </c>
    </row>
    <row r="16" customFormat="false" ht="18.75" hidden="false" customHeight="true" outlineLevel="0" collapsed="false">
      <c r="A16" s="12" t="n">
        <v>13</v>
      </c>
      <c r="B16" s="13" t="str">
        <f aca="false">IF(Members!B16="","",Members!B16)</f>
        <v/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 t="n">
        <f aca="false">SUM(C16:N16)</f>
        <v>0</v>
      </c>
      <c r="P16" s="18" t="n">
        <f aca="false">IF(Members!E16="",0,Members!E16*12)</f>
        <v>0</v>
      </c>
      <c r="Q16" s="18" t="n">
        <f aca="false">MAX(0,P16-O16)</f>
        <v>0</v>
      </c>
    </row>
    <row r="17" customFormat="false" ht="18.75" hidden="false" customHeight="true" outlineLevel="0" collapsed="false">
      <c r="A17" s="9" t="n">
        <v>14</v>
      </c>
      <c r="B17" s="10" t="str">
        <f aca="false">IF(Members!B17="","",Members!B17)</f>
        <v/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 t="n">
        <f aca="false">SUM(C17:N17)</f>
        <v>0</v>
      </c>
      <c r="P17" s="19" t="n">
        <f aca="false">IF(Members!E17="",0,Members!E17*12)</f>
        <v>0</v>
      </c>
      <c r="Q17" s="19" t="n">
        <f aca="false">MAX(0,P17-O17)</f>
        <v>0</v>
      </c>
    </row>
    <row r="18" customFormat="false" ht="18.75" hidden="false" customHeight="true" outlineLevel="0" collapsed="false">
      <c r="A18" s="12" t="n">
        <v>15</v>
      </c>
      <c r="B18" s="13" t="str">
        <f aca="false">IF(Members!B18="","",Members!B18)</f>
        <v/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 t="n">
        <f aca="false">SUM(C18:N18)</f>
        <v>0</v>
      </c>
      <c r="P18" s="18" t="n">
        <f aca="false">IF(Members!E18="",0,Members!E18*12)</f>
        <v>0</v>
      </c>
      <c r="Q18" s="18" t="n">
        <f aca="false">MAX(0,P18-O18)</f>
        <v>0</v>
      </c>
    </row>
    <row r="19" customFormat="false" ht="18.75" hidden="false" customHeight="true" outlineLevel="0" collapsed="false">
      <c r="A19" s="9" t="n">
        <v>16</v>
      </c>
      <c r="B19" s="10" t="str">
        <f aca="false">IF(Members!B19="","",Members!B19)</f>
        <v/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 t="n">
        <f aca="false">SUM(C19:N19)</f>
        <v>0</v>
      </c>
      <c r="P19" s="19" t="n">
        <f aca="false">IF(Members!E19="",0,Members!E19*12)</f>
        <v>0</v>
      </c>
      <c r="Q19" s="19" t="n">
        <f aca="false">MAX(0,P19-O19)</f>
        <v>0</v>
      </c>
    </row>
    <row r="20" customFormat="false" ht="18.75" hidden="false" customHeight="true" outlineLevel="0" collapsed="false">
      <c r="A20" s="12" t="n">
        <v>17</v>
      </c>
      <c r="B20" s="13" t="str">
        <f aca="false">IF(Members!B20="","",Members!B20)</f>
        <v/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 t="n">
        <f aca="false">SUM(C20:N20)</f>
        <v>0</v>
      </c>
      <c r="P20" s="18" t="n">
        <f aca="false">IF(Members!E20="",0,Members!E20*12)</f>
        <v>0</v>
      </c>
      <c r="Q20" s="18" t="n">
        <f aca="false">MAX(0,P20-O20)</f>
        <v>0</v>
      </c>
    </row>
    <row r="21" customFormat="false" ht="18.75" hidden="false" customHeight="true" outlineLevel="0" collapsed="false">
      <c r="A21" s="9" t="n">
        <v>18</v>
      </c>
      <c r="B21" s="10" t="str">
        <f aca="false">IF(Members!B21="","",Members!B21)</f>
        <v/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 t="n">
        <f aca="false">SUM(C21:N21)</f>
        <v>0</v>
      </c>
      <c r="P21" s="19" t="n">
        <f aca="false">IF(Members!E21="",0,Members!E21*12)</f>
        <v>0</v>
      </c>
      <c r="Q21" s="19" t="n">
        <f aca="false">MAX(0,P21-O21)</f>
        <v>0</v>
      </c>
    </row>
    <row r="22" customFormat="false" ht="18.75" hidden="false" customHeight="true" outlineLevel="0" collapsed="false">
      <c r="A22" s="12" t="n">
        <v>19</v>
      </c>
      <c r="B22" s="13" t="str">
        <f aca="false">IF(Members!B22="","",Members!B22)</f>
        <v/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 t="n">
        <f aca="false">SUM(C22:N22)</f>
        <v>0</v>
      </c>
      <c r="P22" s="18" t="n">
        <f aca="false">IF(Members!E22="",0,Members!E22*12)</f>
        <v>0</v>
      </c>
      <c r="Q22" s="18" t="n">
        <f aca="false">MAX(0,P22-O22)</f>
        <v>0</v>
      </c>
    </row>
    <row r="23" customFormat="false" ht="18.75" hidden="false" customHeight="true" outlineLevel="0" collapsed="false">
      <c r="A23" s="9" t="n">
        <v>20</v>
      </c>
      <c r="B23" s="10" t="str">
        <f aca="false">IF(Members!B23="","",Members!B23)</f>
        <v/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 t="n">
        <f aca="false">SUM(C23:N23)</f>
        <v>0</v>
      </c>
      <c r="P23" s="19" t="n">
        <f aca="false">IF(Members!E23="",0,Members!E23*12)</f>
        <v>0</v>
      </c>
      <c r="Q23" s="19" t="n">
        <f aca="false">MAX(0,P23-O23)</f>
        <v>0</v>
      </c>
    </row>
    <row r="24" customFormat="false" ht="18.75" hidden="false" customHeight="true" outlineLevel="0" collapsed="false">
      <c r="A24" s="12" t="n">
        <v>21</v>
      </c>
      <c r="B24" s="13" t="str">
        <f aca="false">IF(Members!B24="","",Members!B24)</f>
        <v/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 t="n">
        <f aca="false">SUM(C24:N24)</f>
        <v>0</v>
      </c>
      <c r="P24" s="18" t="n">
        <f aca="false">IF(Members!E24="",0,Members!E24*12)</f>
        <v>0</v>
      </c>
      <c r="Q24" s="18" t="n">
        <f aca="false">MAX(0,P24-O24)</f>
        <v>0</v>
      </c>
    </row>
    <row r="25" customFormat="false" ht="18.75" hidden="false" customHeight="true" outlineLevel="0" collapsed="false">
      <c r="A25" s="9" t="n">
        <v>22</v>
      </c>
      <c r="B25" s="10" t="str">
        <f aca="false">IF(Members!B25="","",Members!B25)</f>
        <v/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 t="n">
        <f aca="false">SUM(C25:N25)</f>
        <v>0</v>
      </c>
      <c r="P25" s="19" t="n">
        <f aca="false">IF(Members!E25="",0,Members!E25*12)</f>
        <v>0</v>
      </c>
      <c r="Q25" s="19" t="n">
        <f aca="false">MAX(0,P25-O25)</f>
        <v>0</v>
      </c>
    </row>
    <row r="26" customFormat="false" ht="18.75" hidden="false" customHeight="true" outlineLevel="0" collapsed="false">
      <c r="A26" s="12" t="n">
        <v>23</v>
      </c>
      <c r="B26" s="13" t="str">
        <f aca="false">IF(Members!B26="","",Members!B26)</f>
        <v/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 t="n">
        <f aca="false">SUM(C26:N26)</f>
        <v>0</v>
      </c>
      <c r="P26" s="18" t="n">
        <f aca="false">IF(Members!E26="",0,Members!E26*12)</f>
        <v>0</v>
      </c>
      <c r="Q26" s="18" t="n">
        <f aca="false">MAX(0,P26-O26)</f>
        <v>0</v>
      </c>
    </row>
    <row r="27" customFormat="false" ht="18.75" hidden="false" customHeight="true" outlineLevel="0" collapsed="false">
      <c r="A27" s="9" t="n">
        <v>24</v>
      </c>
      <c r="B27" s="10" t="str">
        <f aca="false">IF(Members!B27="","",Members!B27)</f>
        <v/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 t="n">
        <f aca="false">SUM(C27:N27)</f>
        <v>0</v>
      </c>
      <c r="P27" s="19" t="n">
        <f aca="false">IF(Members!E27="",0,Members!E27*12)</f>
        <v>0</v>
      </c>
      <c r="Q27" s="19" t="n">
        <f aca="false">MAX(0,P27-O27)</f>
        <v>0</v>
      </c>
    </row>
    <row r="28" customFormat="false" ht="18.75" hidden="false" customHeight="true" outlineLevel="0" collapsed="false">
      <c r="A28" s="12" t="n">
        <v>25</v>
      </c>
      <c r="B28" s="13" t="str">
        <f aca="false">IF(Members!B28="","",Members!B28)</f>
        <v/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 t="n">
        <f aca="false">SUM(C28:N28)</f>
        <v>0</v>
      </c>
      <c r="P28" s="18" t="n">
        <f aca="false">IF(Members!E28="",0,Members!E28*12)</f>
        <v>0</v>
      </c>
      <c r="Q28" s="18" t="n">
        <f aca="false">MAX(0,P28-O28)</f>
        <v>0</v>
      </c>
    </row>
    <row r="29" customFormat="false" ht="18.75" hidden="false" customHeight="true" outlineLevel="0" collapsed="false">
      <c r="A29" s="9" t="n">
        <v>26</v>
      </c>
      <c r="B29" s="10" t="str">
        <f aca="false">IF(Members!B29="","",Members!B29)</f>
        <v/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 t="n">
        <f aca="false">SUM(C29:N29)</f>
        <v>0</v>
      </c>
      <c r="P29" s="19" t="n">
        <f aca="false">IF(Members!E29="",0,Members!E29*12)</f>
        <v>0</v>
      </c>
      <c r="Q29" s="19" t="n">
        <f aca="false">MAX(0,P29-O29)</f>
        <v>0</v>
      </c>
    </row>
    <row r="30" customFormat="false" ht="18.75" hidden="false" customHeight="true" outlineLevel="0" collapsed="false">
      <c r="A30" s="12" t="n">
        <v>27</v>
      </c>
      <c r="B30" s="13" t="str">
        <f aca="false">IF(Members!B30="","",Members!B30)</f>
        <v/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 t="n">
        <f aca="false">SUM(C30:N30)</f>
        <v>0</v>
      </c>
      <c r="P30" s="18" t="n">
        <f aca="false">IF(Members!E30="",0,Members!E30*12)</f>
        <v>0</v>
      </c>
      <c r="Q30" s="18" t="n">
        <f aca="false">MAX(0,P30-O30)</f>
        <v>0</v>
      </c>
    </row>
    <row r="31" customFormat="false" ht="18.75" hidden="false" customHeight="true" outlineLevel="0" collapsed="false">
      <c r="A31" s="9" t="n">
        <v>28</v>
      </c>
      <c r="B31" s="10" t="str">
        <f aca="false">IF(Members!B31="","",Members!B31)</f>
        <v/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 t="n">
        <f aca="false">SUM(C31:N31)</f>
        <v>0</v>
      </c>
      <c r="P31" s="19" t="n">
        <f aca="false">IF(Members!E31="",0,Members!E31*12)</f>
        <v>0</v>
      </c>
      <c r="Q31" s="19" t="n">
        <f aca="false">MAX(0,P31-O31)</f>
        <v>0</v>
      </c>
    </row>
    <row r="32" customFormat="false" ht="18.75" hidden="false" customHeight="true" outlineLevel="0" collapsed="false">
      <c r="A32" s="12" t="n">
        <v>29</v>
      </c>
      <c r="B32" s="13" t="str">
        <f aca="false">IF(Members!B32="","",Members!B32)</f>
        <v/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 t="n">
        <f aca="false">SUM(C32:N32)</f>
        <v>0</v>
      </c>
      <c r="P32" s="18" t="n">
        <f aca="false">IF(Members!E32="",0,Members!E32*12)</f>
        <v>0</v>
      </c>
      <c r="Q32" s="18" t="n">
        <f aca="false">MAX(0,P32-O32)</f>
        <v>0</v>
      </c>
    </row>
    <row r="33" customFormat="false" ht="18.75" hidden="false" customHeight="true" outlineLevel="0" collapsed="false">
      <c r="A33" s="9" t="n">
        <v>30</v>
      </c>
      <c r="B33" s="10" t="str">
        <f aca="false">IF(Members!B33="","",Members!B33)</f>
        <v/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 t="n">
        <f aca="false">SUM(C33:N33)</f>
        <v>0</v>
      </c>
      <c r="P33" s="19" t="n">
        <f aca="false">IF(Members!E33="",0,Members!E33*12)</f>
        <v>0</v>
      </c>
      <c r="Q33" s="19" t="n">
        <f aca="false">MAX(0,P33-O33)</f>
        <v>0</v>
      </c>
    </row>
    <row r="34" customFormat="false" ht="25.5" hidden="false" customHeight="true" outlineLevel="0" collapsed="false">
      <c r="A34" s="15"/>
      <c r="B34" s="16" t="s">
        <v>30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7" t="n">
        <f aca="false">SUM(O4:O33)</f>
        <v>0</v>
      </c>
      <c r="P34" s="17" t="n">
        <f aca="false">SUM(P4:P33)</f>
        <v>0</v>
      </c>
      <c r="Q34" s="17" t="n">
        <f aca="false">SUM(Q4:Q33)</f>
        <v>0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4"/>
  </cols>
  <sheetData>
    <row r="1" customFormat="false" ht="30" hidden="false" customHeight="true" outlineLevel="0" collapsed="false">
      <c r="A1" s="1" t="s">
        <v>31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32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33</v>
      </c>
      <c r="B3" s="4" t="s">
        <v>3</v>
      </c>
      <c r="C3" s="3" t="s">
        <v>34</v>
      </c>
      <c r="D3" s="5" t="s">
        <v>35</v>
      </c>
      <c r="E3" s="3" t="s">
        <v>36</v>
      </c>
      <c r="F3" s="4" t="s">
        <v>37</v>
      </c>
    </row>
    <row r="4" customFormat="false" ht="18.75" hidden="false" customHeight="true" outlineLevel="0" collapsed="false">
      <c r="A4" s="6" t="n">
        <v>1</v>
      </c>
      <c r="B4" s="7" t="s">
        <v>38</v>
      </c>
      <c r="C4" s="6" t="s">
        <v>39</v>
      </c>
      <c r="D4" s="8"/>
      <c r="E4" s="6" t="s">
        <v>40</v>
      </c>
      <c r="F4" s="7" t="s">
        <v>41</v>
      </c>
    </row>
    <row r="5" customFormat="false" ht="18.75" hidden="false" customHeight="true" outlineLevel="0" collapsed="false">
      <c r="A5" s="9" t="n">
        <v>2</v>
      </c>
      <c r="B5" s="10"/>
      <c r="C5" s="9"/>
      <c r="D5" s="11"/>
      <c r="E5" s="9"/>
      <c r="F5" s="10"/>
    </row>
    <row r="6" customFormat="false" ht="18.75" hidden="false" customHeight="true" outlineLevel="0" collapsed="false">
      <c r="A6" s="12" t="n">
        <v>3</v>
      </c>
      <c r="B6" s="13"/>
      <c r="C6" s="12"/>
      <c r="D6" s="14"/>
      <c r="E6" s="12"/>
      <c r="F6" s="13"/>
    </row>
    <row r="7" customFormat="false" ht="18.75" hidden="false" customHeight="true" outlineLevel="0" collapsed="false">
      <c r="A7" s="9" t="n">
        <v>4</v>
      </c>
      <c r="B7" s="10"/>
      <c r="C7" s="9"/>
      <c r="D7" s="11"/>
      <c r="E7" s="9"/>
      <c r="F7" s="10"/>
    </row>
    <row r="8" customFormat="false" ht="18.75" hidden="false" customHeight="true" outlineLevel="0" collapsed="false">
      <c r="A8" s="12" t="n">
        <v>5</v>
      </c>
      <c r="B8" s="13"/>
      <c r="C8" s="12"/>
      <c r="D8" s="14"/>
      <c r="E8" s="12"/>
      <c r="F8" s="13"/>
    </row>
    <row r="9" customFormat="false" ht="18.75" hidden="false" customHeight="true" outlineLevel="0" collapsed="false">
      <c r="A9" s="9" t="n">
        <v>6</v>
      </c>
      <c r="B9" s="10"/>
      <c r="C9" s="9"/>
      <c r="D9" s="11"/>
      <c r="E9" s="9"/>
      <c r="F9" s="10"/>
    </row>
    <row r="10" customFormat="false" ht="18.75" hidden="false" customHeight="true" outlineLevel="0" collapsed="false">
      <c r="A10" s="12" t="n">
        <v>7</v>
      </c>
      <c r="B10" s="13"/>
      <c r="C10" s="12"/>
      <c r="D10" s="14"/>
      <c r="E10" s="12"/>
      <c r="F10" s="13"/>
    </row>
    <row r="11" customFormat="false" ht="18.75" hidden="false" customHeight="true" outlineLevel="0" collapsed="false">
      <c r="A11" s="9" t="n">
        <v>8</v>
      </c>
      <c r="B11" s="10"/>
      <c r="C11" s="9"/>
      <c r="D11" s="11"/>
      <c r="E11" s="9"/>
      <c r="F11" s="10"/>
    </row>
    <row r="12" customFormat="false" ht="18.75" hidden="false" customHeight="true" outlineLevel="0" collapsed="false">
      <c r="A12" s="12" t="n">
        <v>9</v>
      </c>
      <c r="B12" s="13"/>
      <c r="C12" s="12"/>
      <c r="D12" s="14"/>
      <c r="E12" s="12"/>
      <c r="F12" s="13"/>
    </row>
    <row r="13" customFormat="false" ht="18.75" hidden="false" customHeight="true" outlineLevel="0" collapsed="false">
      <c r="A13" s="9" t="n">
        <v>10</v>
      </c>
      <c r="B13" s="10"/>
      <c r="C13" s="9"/>
      <c r="D13" s="11"/>
      <c r="E13" s="9"/>
      <c r="F13" s="10"/>
    </row>
    <row r="14" customFormat="false" ht="18.75" hidden="false" customHeight="true" outlineLevel="0" collapsed="false">
      <c r="A14" s="12" t="n">
        <v>11</v>
      </c>
      <c r="B14" s="13"/>
      <c r="C14" s="12"/>
      <c r="D14" s="14"/>
      <c r="E14" s="12"/>
      <c r="F14" s="13"/>
    </row>
    <row r="15" customFormat="false" ht="18.75" hidden="false" customHeight="true" outlineLevel="0" collapsed="false">
      <c r="A15" s="9" t="n">
        <v>12</v>
      </c>
      <c r="B15" s="10"/>
      <c r="C15" s="9"/>
      <c r="D15" s="11"/>
      <c r="E15" s="9"/>
      <c r="F15" s="10"/>
    </row>
    <row r="16" customFormat="false" ht="18.75" hidden="false" customHeight="true" outlineLevel="0" collapsed="false">
      <c r="A16" s="12" t="n">
        <v>13</v>
      </c>
      <c r="B16" s="13"/>
      <c r="C16" s="12"/>
      <c r="D16" s="14"/>
      <c r="E16" s="12"/>
      <c r="F16" s="13"/>
    </row>
    <row r="17" customFormat="false" ht="18.75" hidden="false" customHeight="true" outlineLevel="0" collapsed="false">
      <c r="A17" s="9" t="n">
        <v>14</v>
      </c>
      <c r="B17" s="10"/>
      <c r="C17" s="9"/>
      <c r="D17" s="11"/>
      <c r="E17" s="9"/>
      <c r="F17" s="10"/>
    </row>
    <row r="18" customFormat="false" ht="18.75" hidden="false" customHeight="true" outlineLevel="0" collapsed="false">
      <c r="A18" s="12" t="n">
        <v>15</v>
      </c>
      <c r="B18" s="13"/>
      <c r="C18" s="12"/>
      <c r="D18" s="14"/>
      <c r="E18" s="12"/>
      <c r="F18" s="13"/>
    </row>
    <row r="19" customFormat="false" ht="18.75" hidden="false" customHeight="true" outlineLevel="0" collapsed="false">
      <c r="A19" s="9" t="n">
        <v>16</v>
      </c>
      <c r="B19" s="10"/>
      <c r="C19" s="9"/>
      <c r="D19" s="11"/>
      <c r="E19" s="9"/>
      <c r="F19" s="10"/>
    </row>
    <row r="20" customFormat="false" ht="18.75" hidden="false" customHeight="true" outlineLevel="0" collapsed="false">
      <c r="A20" s="12" t="n">
        <v>17</v>
      </c>
      <c r="B20" s="13"/>
      <c r="C20" s="12"/>
      <c r="D20" s="14"/>
      <c r="E20" s="12"/>
      <c r="F20" s="13"/>
    </row>
    <row r="21" customFormat="false" ht="18.75" hidden="false" customHeight="true" outlineLevel="0" collapsed="false">
      <c r="A21" s="9" t="n">
        <v>18</v>
      </c>
      <c r="B21" s="10"/>
      <c r="C21" s="9"/>
      <c r="D21" s="11"/>
      <c r="E21" s="9"/>
      <c r="F21" s="10"/>
    </row>
    <row r="22" customFormat="false" ht="18.75" hidden="false" customHeight="true" outlineLevel="0" collapsed="false">
      <c r="A22" s="12" t="n">
        <v>19</v>
      </c>
      <c r="B22" s="13"/>
      <c r="C22" s="12"/>
      <c r="D22" s="14"/>
      <c r="E22" s="12"/>
      <c r="F22" s="13"/>
    </row>
    <row r="23" customFormat="false" ht="18.75" hidden="false" customHeight="true" outlineLevel="0" collapsed="false">
      <c r="A23" s="9" t="n">
        <v>20</v>
      </c>
      <c r="B23" s="10"/>
      <c r="C23" s="9"/>
      <c r="D23" s="11"/>
      <c r="E23" s="9"/>
      <c r="F23" s="10"/>
    </row>
    <row r="24" customFormat="false" ht="18.75" hidden="false" customHeight="true" outlineLevel="0" collapsed="false">
      <c r="A24" s="12" t="n">
        <v>21</v>
      </c>
      <c r="B24" s="13"/>
      <c r="C24" s="12"/>
      <c r="D24" s="14"/>
      <c r="E24" s="12"/>
      <c r="F24" s="13"/>
    </row>
    <row r="25" customFormat="false" ht="18.75" hidden="false" customHeight="true" outlineLevel="0" collapsed="false">
      <c r="A25" s="9" t="n">
        <v>22</v>
      </c>
      <c r="B25" s="10"/>
      <c r="C25" s="9"/>
      <c r="D25" s="11"/>
      <c r="E25" s="9"/>
      <c r="F25" s="10"/>
    </row>
    <row r="26" customFormat="false" ht="18.75" hidden="false" customHeight="true" outlineLevel="0" collapsed="false">
      <c r="A26" s="12" t="n">
        <v>23</v>
      </c>
      <c r="B26" s="13"/>
      <c r="C26" s="12"/>
      <c r="D26" s="14"/>
      <c r="E26" s="12"/>
      <c r="F26" s="13"/>
    </row>
    <row r="27" customFormat="false" ht="18.75" hidden="false" customHeight="true" outlineLevel="0" collapsed="false">
      <c r="A27" s="9" t="n">
        <v>24</v>
      </c>
      <c r="B27" s="10"/>
      <c r="C27" s="9"/>
      <c r="D27" s="11"/>
      <c r="E27" s="9"/>
      <c r="F27" s="10"/>
    </row>
    <row r="28" customFormat="false" ht="18.75" hidden="false" customHeight="true" outlineLevel="0" collapsed="false">
      <c r="A28" s="12" t="n">
        <v>25</v>
      </c>
      <c r="B28" s="13"/>
      <c r="C28" s="12"/>
      <c r="D28" s="14"/>
      <c r="E28" s="12"/>
      <c r="F28" s="13"/>
    </row>
    <row r="29" customFormat="false" ht="18.75" hidden="false" customHeight="true" outlineLevel="0" collapsed="false">
      <c r="A29" s="9" t="n">
        <v>26</v>
      </c>
      <c r="B29" s="10"/>
      <c r="C29" s="9"/>
      <c r="D29" s="11"/>
      <c r="E29" s="9"/>
      <c r="F29" s="10"/>
    </row>
    <row r="30" customFormat="false" ht="18.75" hidden="false" customHeight="true" outlineLevel="0" collapsed="false">
      <c r="A30" s="12" t="n">
        <v>27</v>
      </c>
      <c r="B30" s="13"/>
      <c r="C30" s="12"/>
      <c r="D30" s="14"/>
      <c r="E30" s="12"/>
      <c r="F30" s="13"/>
    </row>
    <row r="31" customFormat="false" ht="18.75" hidden="false" customHeight="true" outlineLevel="0" collapsed="false">
      <c r="A31" s="9" t="n">
        <v>28</v>
      </c>
      <c r="B31" s="10"/>
      <c r="C31" s="9"/>
      <c r="D31" s="11"/>
      <c r="E31" s="9"/>
      <c r="F31" s="10"/>
    </row>
    <row r="32" customFormat="false" ht="18.75" hidden="false" customHeight="true" outlineLevel="0" collapsed="false">
      <c r="A32" s="12" t="n">
        <v>29</v>
      </c>
      <c r="B32" s="13"/>
      <c r="C32" s="12"/>
      <c r="D32" s="14"/>
      <c r="E32" s="12"/>
      <c r="F32" s="13"/>
    </row>
    <row r="33" customFormat="false" ht="18.75" hidden="false" customHeight="true" outlineLevel="0" collapsed="false">
      <c r="A33" s="9" t="n">
        <v>30</v>
      </c>
      <c r="B33" s="10"/>
      <c r="C33" s="9"/>
      <c r="D33" s="11"/>
      <c r="E33" s="9"/>
      <c r="F33" s="10"/>
    </row>
    <row r="34" customFormat="false" ht="25.5" hidden="false" customHeight="true" outlineLevel="0" collapsed="false">
      <c r="A34" s="15"/>
      <c r="B34" s="15"/>
      <c r="C34" s="16" t="s">
        <v>42</v>
      </c>
      <c r="D34" s="17" t="n">
        <f aca="false">SUMIF(E4:E33,"YES",D4:D33)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"/>
  </cols>
  <sheetData>
    <row r="1" customFormat="false" ht="30" hidden="false" customHeight="true" outlineLevel="0" collapsed="false">
      <c r="A1" s="1" t="s">
        <v>43</v>
      </c>
      <c r="B1" s="1"/>
      <c r="C1" s="1"/>
      <c r="D1" s="1"/>
    </row>
    <row r="3" customFormat="false" ht="21.75" hidden="false" customHeight="true" outlineLevel="0" collapsed="false">
      <c r="A3" s="20" t="s">
        <v>44</v>
      </c>
      <c r="B3" s="20"/>
      <c r="C3" s="20"/>
      <c r="D3" s="20"/>
    </row>
    <row r="4" customFormat="false" ht="18.75" hidden="false" customHeight="true" outlineLevel="0" collapsed="false">
      <c r="B4" s="21" t="s">
        <v>45</v>
      </c>
      <c r="C4" s="22" t="s">
        <v>46</v>
      </c>
    </row>
    <row r="5" customFormat="false" ht="18.75" hidden="false" customHeight="true" outlineLevel="0" collapsed="false">
      <c r="B5" s="21" t="s">
        <v>47</v>
      </c>
      <c r="C5" s="22" t="s">
        <v>48</v>
      </c>
    </row>
    <row r="6" customFormat="false" ht="18.75" hidden="false" customHeight="true" outlineLevel="0" collapsed="false">
      <c r="B6" s="21" t="s">
        <v>49</v>
      </c>
      <c r="C6" s="22" t="s">
        <v>50</v>
      </c>
    </row>
    <row r="7" customFormat="false" ht="18.75" hidden="false" customHeight="true" outlineLevel="0" collapsed="false">
      <c r="B7" s="21" t="s">
        <v>51</v>
      </c>
      <c r="C7" s="22" t="n">
        <f aca="false">COUNTA(Members!B4:B33)</f>
        <v>1</v>
      </c>
    </row>
    <row r="9" customFormat="false" ht="21.75" hidden="false" customHeight="true" outlineLevel="0" collapsed="false">
      <c r="A9" s="20" t="s">
        <v>52</v>
      </c>
      <c r="B9" s="20"/>
      <c r="C9" s="20"/>
      <c r="D9" s="20"/>
    </row>
    <row r="10" customFormat="false" ht="18.75" hidden="false" customHeight="true" outlineLevel="0" collapsed="false">
      <c r="B10" s="21" t="s">
        <v>53</v>
      </c>
      <c r="C10" s="23" t="n">
        <f aca="false">Contributions!O34</f>
        <v>0</v>
      </c>
    </row>
    <row r="11" customFormat="false" ht="18.75" hidden="false" customHeight="true" outlineLevel="0" collapsed="false">
      <c r="B11" s="21" t="s">
        <v>54</v>
      </c>
      <c r="C11" s="23" t="n">
        <f aca="false">Contributions!P34</f>
        <v>0</v>
      </c>
    </row>
    <row r="12" customFormat="false" ht="18.75" hidden="false" customHeight="true" outlineLevel="0" collapsed="false">
      <c r="B12" s="21" t="s">
        <v>55</v>
      </c>
      <c r="C12" s="23" t="n">
        <f aca="false">Contributions!Q34</f>
        <v>0</v>
      </c>
    </row>
    <row r="13" customFormat="false" ht="18.75" hidden="false" customHeight="true" outlineLevel="0" collapsed="false">
      <c r="B13" s="21" t="s">
        <v>56</v>
      </c>
      <c r="C13" s="23" t="n">
        <f aca="false">'Payout Rotation'!D34</f>
        <v>0</v>
      </c>
    </row>
    <row r="14" customFormat="false" ht="24" hidden="false" customHeight="true" outlineLevel="0" collapsed="false">
      <c r="B14" s="24" t="s">
        <v>57</v>
      </c>
      <c r="C14" s="25" t="n">
        <f aca="false">C10-C13</f>
        <v>0</v>
      </c>
    </row>
    <row r="16" customFormat="false" ht="27.75" hidden="false" customHeight="true" outlineLevel="0" collapsed="false">
      <c r="A16" s="2" t="s">
        <v>58</v>
      </c>
      <c r="B16" s="2"/>
      <c r="C16" s="2"/>
      <c r="D16" s="2"/>
    </row>
  </sheetData>
  <mergeCells count="4">
    <mergeCell ref="A1:D1"/>
    <mergeCell ref="A3:D3"/>
    <mergeCell ref="A9:D9"/>
    <mergeCell ref="A16:D16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2026-09-14T19:00:37Z</dcterms:created>
  <dc:creator>openpyxl</dc:creator>
  <dc:description/>
  <dc:language>en-US</dc:language>
  <cp:lastModifiedBy/>
  <dcterms:modified xsi:type="dcterms:W3CDTF">2026-09-14T19:00:37Z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