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ip Log" sheetId="1" state="visible" r:id="rId3"/>
    <sheet name="Fuel Log" sheetId="2" state="visible" r:id="rId4"/>
    <sheet name="Maintenance" sheetId="3" state="visible" r:id="rId5"/>
    <sheet name="Driver Schedule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<sst xmlns="http://schemas.openxmlformats.org/spreadsheetml/2006/main" count="61" uniqueCount="57">
  <si>
    <t xml:space="preserve">DAILY TRIP LOG</t>
  </si>
  <si>
    <t xml:space="preserve">Record every trip. Distance and Net Earnings calculate automatically. Keep this for SARS - trip records are what prove your vehicle expenses.</t>
  </si>
  <si>
    <t xml:space="preserve">Date</t>
  </si>
  <si>
    <t xml:space="preserve">Driver</t>
  </si>
  <si>
    <t xml:space="preserve">From</t>
  </si>
  <si>
    <t xml:space="preserve">To</t>
  </si>
  <si>
    <t xml:space="preserve">Odo Start</t>
  </si>
  <si>
    <t xml:space="preserve">Odo End</t>
  </si>
  <si>
    <t xml:space="preserve">Distance (km)</t>
  </si>
  <si>
    <t xml:space="preserve">Fare Earned (R)</t>
  </si>
  <si>
    <t xml:space="preserve">Net after Fuel (R)</t>
  </si>
  <si>
    <t xml:space="preserve">SETTING</t>
  </si>
  <si>
    <t xml:space="preserve">Fuel cost per km (R)</t>
  </si>
  <si>
    <t xml:space="preserve">EDIT THIS to match your vehicle</t>
  </si>
  <si>
    <t xml:space="preserve">TOTALS</t>
  </si>
  <si>
    <t xml:space="preserve">FUEL &amp; CONSUMPTION LOG</t>
  </si>
  <si>
    <t xml:space="preserve">Fill in every fill-up. Litres per 100km shows if your vehicle is using too much fuel - a sudden jump usually means a mechanical problem.</t>
  </si>
  <si>
    <t xml:space="preserve">Station</t>
  </si>
  <si>
    <t xml:space="preserve">Litres</t>
  </si>
  <si>
    <t xml:space="preserve">Price/Litre (R)</t>
  </si>
  <si>
    <t xml:space="preserve">Total Paid (R)</t>
  </si>
  <si>
    <t xml:space="preserve">Odometer</t>
  </si>
  <si>
    <t xml:space="preserve">Km Travelled</t>
  </si>
  <si>
    <t xml:space="preserve">Litres per 100km</t>
  </si>
  <si>
    <t xml:space="preserve">SERVICE &amp; MAINTENANCE RECORD</t>
  </si>
  <si>
    <t xml:space="preserve">Track every service and repair. Next Service Due helps you avoid breakdowns - a broken vehicle earns nothing.</t>
  </si>
  <si>
    <t xml:space="preserve">Work Done</t>
  </si>
  <si>
    <t xml:space="preserve">Cost (R)</t>
  </si>
  <si>
    <t xml:space="preserve">Workshop / Mechanic</t>
  </si>
  <si>
    <t xml:space="preserve">Next Service Due (km)</t>
  </si>
  <si>
    <t xml:space="preserve">2026-01-15</t>
  </si>
  <si>
    <t xml:space="preserve">Example: Oil &amp; filter service</t>
  </si>
  <si>
    <t xml:space="preserve">Main Rd Motors</t>
  </si>
  <si>
    <t xml:space="preserve">TOTAL SPENT ON MAINTENANCE</t>
  </si>
  <si>
    <t xml:space="preserve">DRIVER SCHEDULE &amp; PAY</t>
  </si>
  <si>
    <t xml:space="preserve">Track shifts and what each driver is owed. Pay Due calculates from hours worked. Check PRDP licence expiry dates - driving without one is illegal.</t>
  </si>
  <si>
    <t xml:space="preserve">No.</t>
  </si>
  <si>
    <t xml:space="preserve">Driver Name</t>
  </si>
  <si>
    <t xml:space="preserve">Phone</t>
  </si>
  <si>
    <t xml:space="preserve">Shift</t>
  </si>
  <si>
    <t xml:space="preserve">Hours Worked</t>
  </si>
  <si>
    <t xml:space="preserve">Rate/Hour (R)</t>
  </si>
  <si>
    <t xml:space="preserve">Pay Due (R)</t>
  </si>
  <si>
    <t xml:space="preserve">Example: T. Mbeki</t>
  </si>
  <si>
    <t xml:space="preserve">072 333 4444</t>
  </si>
  <si>
    <t xml:space="preserve">Day</t>
  </si>
  <si>
    <t xml:space="preserve">TOTAL WAGES DUE</t>
  </si>
  <si>
    <t xml:space="preserve">BUSINESS SUMMARY</t>
  </si>
  <si>
    <t xml:space="preserve">  EARNINGS &amp; COSTS</t>
  </si>
  <si>
    <t xml:space="preserve">Total Fares Earned</t>
  </si>
  <si>
    <t xml:space="preserve">Total Fuel Paid</t>
  </si>
  <si>
    <t xml:space="preserve">Total Maintenance</t>
  </si>
  <si>
    <t xml:space="preserve">Total Driver Wages</t>
  </si>
  <si>
    <t xml:space="preserve">NET PROFIT</t>
  </si>
  <si>
    <t xml:space="preserve">Total Distance (km)</t>
  </si>
  <si>
    <t xml:space="preserve">Profit per km (R)</t>
  </si>
  <si>
    <t xml:space="preserve">Net profit is fares minus fuel, maintenance and wages. Remember to also budget for insurance, licence renewals and vehicle finance.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</si>
</sst>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0.00"/>
    <numFmt numFmtId="168" formatCode="#,##0.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5A6B7D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9"/>
      <color rgb="FFC8A44D"/>
      <name val="Arial"/>
      <family val="0"/>
      <charset val="1"/>
    </font>
    <font>
      <sz val="10"/>
      <color rgb="FF0F1E33"/>
      <name val="Arial"/>
      <family val="0"/>
      <charset val="1"/>
    </font>
    <font>
      <b val="true"/>
      <sz val="9"/>
      <color rgb="FF0F1E33"/>
      <name val="Arial"/>
      <family val="0"/>
      <charset val="1"/>
    </font>
    <font>
      <b val="true"/>
      <sz val="10"/>
      <color rgb="FF0F1E33"/>
      <name val="Arial"/>
      <family val="0"/>
      <charset val="1"/>
    </font>
    <font>
      <i val="true"/>
      <sz val="8"/>
      <color rgb="FF5A6B7D"/>
      <name val="Arial"/>
      <family val="0"/>
      <charset val="1"/>
    </font>
    <font>
      <b val="true"/>
      <sz val="11"/>
      <color rgb="FFC8A44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5A6B7D"/>
      <name val="Arial"/>
      <family val="0"/>
      <charset val="1"/>
    </font>
    <font>
      <b val="true"/>
      <sz val="10"/>
      <color rgb="FFC8A44D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1E33"/>
        <bgColor rgb="FF003300"/>
      </patternFill>
    </fill>
    <fill>
      <patternFill patternType="solid">
        <fgColor rgb="FFFFFFFF"/>
        <bgColor rgb="FFF7F9FC"/>
      </patternFill>
    </fill>
    <fill>
      <patternFill patternType="solid">
        <fgColor rgb="FFFFF3CD"/>
        <bgColor rgb="FFF7F9FC"/>
      </patternFill>
    </fill>
    <fill>
      <patternFill patternType="solid">
        <fgColor rgb="FFF7F9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EE7"/>
      </left>
      <right style="thin">
        <color rgb="FFD8DEE7"/>
      </right>
      <top style="thin">
        <color rgb="FFD8DEE7"/>
      </top>
      <bottom style="thin">
        <color rgb="FFD8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13" fillId="2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16" fillId="2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F7F9FC"/>
      <rgbColor rgb="FF660066"/>
      <rgbColor rgb="FFFF8080"/>
      <rgbColor rgb="FF0066CC"/>
      <rgbColor rgb="FFD8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D"/>
      <rgbColor rgb="FFC8A44D"/>
      <rgbColor rgb="FF0F1E3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4" min="3" style="0" width="22"/>
    <col collapsed="false" customWidth="true" hidden="false" outlineLevel="0" max="7" min="5" style="0" width="11"/>
    <col collapsed="false" customWidth="true" hidden="false" outlineLevel="0" max="9" min="8" style="0" width="14"/>
    <col collapsed="false" customWidth="true" hidden="false" outlineLevel="0" max="11" min="11" style="0" width="22"/>
    <col collapsed="false" customWidth="true" hidden="false" outlineLevel="0" max="12" min="12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25.5" hidden="false" customHeight="tru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3" t="s">
        <v>6</v>
      </c>
      <c r="F3" s="3" t="s">
        <v>7</v>
      </c>
      <c r="G3" s="5" t="s">
        <v>8</v>
      </c>
      <c r="H3" s="5" t="s">
        <v>9</v>
      </c>
      <c r="I3" s="5" t="s">
        <v>10</v>
      </c>
      <c r="K3" s="6" t="s">
        <v>11</v>
      </c>
      <c r="L3" s="7"/>
    </row>
    <row r="4" customFormat="false" ht="18.75" hidden="false" customHeight="true" outlineLevel="0" collapsed="false">
      <c r="A4" s="8"/>
      <c r="B4" s="9"/>
      <c r="C4" s="9"/>
      <c r="D4" s="9"/>
      <c r="E4" s="10"/>
      <c r="F4" s="10"/>
      <c r="G4" s="10" t="str">
        <f aca="false">IF(AND(E4&lt;&gt;"",F4&lt;&gt;""),F4-E4,"")</f>
        <v/>
      </c>
      <c r="H4" s="11"/>
      <c r="I4" s="11" t="str">
        <f aca="false">IF(H4="","",H4-IF(G4="",0,G4*$L$4))</f>
        <v/>
      </c>
      <c r="K4" s="12" t="s">
        <v>12</v>
      </c>
      <c r="L4" s="13" t="n">
        <v>2.5</v>
      </c>
    </row>
    <row r="5" customFormat="false" ht="18.75" hidden="false" customHeight="true" outlineLevel="0" collapsed="false">
      <c r="A5" s="14"/>
      <c r="B5" s="15"/>
      <c r="C5" s="15"/>
      <c r="D5" s="15"/>
      <c r="E5" s="16"/>
      <c r="F5" s="16"/>
      <c r="G5" s="16" t="str">
        <f aca="false">IF(AND(E5&lt;&gt;"",F5&lt;&gt;""),F5-E5,"")</f>
        <v/>
      </c>
      <c r="H5" s="17"/>
      <c r="I5" s="17" t="str">
        <f aca="false">IF(H5="","",H5-IF(G5="",0,G5*$L$4))</f>
        <v/>
      </c>
      <c r="K5" s="18" t="s">
        <v>13</v>
      </c>
    </row>
    <row r="6" customFormat="false" ht="18.75" hidden="false" customHeight="true" outlineLevel="0" collapsed="false">
      <c r="A6" s="8"/>
      <c r="B6" s="9"/>
      <c r="C6" s="9"/>
      <c r="D6" s="9"/>
      <c r="E6" s="10"/>
      <c r="F6" s="10"/>
      <c r="G6" s="10" t="str">
        <f aca="false">IF(AND(E6&lt;&gt;"",F6&lt;&gt;""),F6-E6,"")</f>
        <v/>
      </c>
      <c r="H6" s="11"/>
      <c r="I6" s="11" t="str">
        <f aca="false">IF(H6="","",H6-IF(G6="",0,G6*$L$4))</f>
        <v/>
      </c>
    </row>
    <row r="7" customFormat="false" ht="18.75" hidden="false" customHeight="true" outlineLevel="0" collapsed="false">
      <c r="A7" s="14"/>
      <c r="B7" s="15"/>
      <c r="C7" s="15"/>
      <c r="D7" s="15"/>
      <c r="E7" s="16"/>
      <c r="F7" s="16"/>
      <c r="G7" s="16" t="str">
        <f aca="false">IF(AND(E7&lt;&gt;"",F7&lt;&gt;""),F7-E7,"")</f>
        <v/>
      </c>
      <c r="H7" s="17"/>
      <c r="I7" s="17" t="str">
        <f aca="false">IF(H7="","",H7-IF(G7="",0,G7*$L$4))</f>
        <v/>
      </c>
    </row>
    <row r="8" customFormat="false" ht="18.75" hidden="false" customHeight="true" outlineLevel="0" collapsed="false">
      <c r="A8" s="8"/>
      <c r="B8" s="9"/>
      <c r="C8" s="9"/>
      <c r="D8" s="9"/>
      <c r="E8" s="10"/>
      <c r="F8" s="10"/>
      <c r="G8" s="10" t="str">
        <f aca="false">IF(AND(E8&lt;&gt;"",F8&lt;&gt;""),F8-E8,"")</f>
        <v/>
      </c>
      <c r="H8" s="11"/>
      <c r="I8" s="11" t="str">
        <f aca="false">IF(H8="","",H8-IF(G8="",0,G8*$L$4))</f>
        <v/>
      </c>
    </row>
    <row r="9" customFormat="false" ht="18.75" hidden="false" customHeight="true" outlineLevel="0" collapsed="false">
      <c r="A9" s="14"/>
      <c r="B9" s="15"/>
      <c r="C9" s="15"/>
      <c r="D9" s="15"/>
      <c r="E9" s="16"/>
      <c r="F9" s="16"/>
      <c r="G9" s="16" t="str">
        <f aca="false">IF(AND(E9&lt;&gt;"",F9&lt;&gt;""),F9-E9,"")</f>
        <v/>
      </c>
      <c r="H9" s="17"/>
      <c r="I9" s="17" t="str">
        <f aca="false">IF(H9="","",H9-IF(G9="",0,G9*$L$4))</f>
        <v/>
      </c>
    </row>
    <row r="10" customFormat="false" ht="18.75" hidden="false" customHeight="true" outlineLevel="0" collapsed="false">
      <c r="A10" s="8"/>
      <c r="B10" s="9"/>
      <c r="C10" s="9"/>
      <c r="D10" s="9"/>
      <c r="E10" s="10"/>
      <c r="F10" s="10"/>
      <c r="G10" s="10" t="str">
        <f aca="false">IF(AND(E10&lt;&gt;"",F10&lt;&gt;""),F10-E10,"")</f>
        <v/>
      </c>
      <c r="H10" s="11"/>
      <c r="I10" s="11" t="str">
        <f aca="false">IF(H10="","",H10-IF(G10="",0,G10*$L$4))</f>
        <v/>
      </c>
    </row>
    <row r="11" customFormat="false" ht="18.75" hidden="false" customHeight="true" outlineLevel="0" collapsed="false">
      <c r="A11" s="14"/>
      <c r="B11" s="15"/>
      <c r="C11" s="15"/>
      <c r="D11" s="15"/>
      <c r="E11" s="16"/>
      <c r="F11" s="16"/>
      <c r="G11" s="16" t="str">
        <f aca="false">IF(AND(E11&lt;&gt;"",F11&lt;&gt;""),F11-E11,"")</f>
        <v/>
      </c>
      <c r="H11" s="17"/>
      <c r="I11" s="17" t="str">
        <f aca="false">IF(H11="","",H11-IF(G11="",0,G11*$L$4))</f>
        <v/>
      </c>
    </row>
    <row r="12" customFormat="false" ht="18.75" hidden="false" customHeight="true" outlineLevel="0" collapsed="false">
      <c r="A12" s="8"/>
      <c r="B12" s="9"/>
      <c r="C12" s="9"/>
      <c r="D12" s="9"/>
      <c r="E12" s="10"/>
      <c r="F12" s="10"/>
      <c r="G12" s="10" t="str">
        <f aca="false">IF(AND(E12&lt;&gt;"",F12&lt;&gt;""),F12-E12,"")</f>
        <v/>
      </c>
      <c r="H12" s="11"/>
      <c r="I12" s="11" t="str">
        <f aca="false">IF(H12="","",H12-IF(G12="",0,G12*$L$4))</f>
        <v/>
      </c>
    </row>
    <row r="13" customFormat="false" ht="18.75" hidden="false" customHeight="true" outlineLevel="0" collapsed="false">
      <c r="A13" s="14"/>
      <c r="B13" s="15"/>
      <c r="C13" s="15"/>
      <c r="D13" s="15"/>
      <c r="E13" s="16"/>
      <c r="F13" s="16"/>
      <c r="G13" s="16" t="str">
        <f aca="false">IF(AND(E13&lt;&gt;"",F13&lt;&gt;""),F13-E13,"")</f>
        <v/>
      </c>
      <c r="H13" s="17"/>
      <c r="I13" s="17" t="str">
        <f aca="false">IF(H13="","",H13-IF(G13="",0,G13*$L$4))</f>
        <v/>
      </c>
    </row>
    <row r="14" customFormat="false" ht="18.75" hidden="false" customHeight="true" outlineLevel="0" collapsed="false">
      <c r="A14" s="8"/>
      <c r="B14" s="9"/>
      <c r="C14" s="9"/>
      <c r="D14" s="9"/>
      <c r="E14" s="10"/>
      <c r="F14" s="10"/>
      <c r="G14" s="10" t="str">
        <f aca="false">IF(AND(E14&lt;&gt;"",F14&lt;&gt;""),F14-E14,"")</f>
        <v/>
      </c>
      <c r="H14" s="11"/>
      <c r="I14" s="11" t="str">
        <f aca="false">IF(H14="","",H14-IF(G14="",0,G14*$L$4))</f>
        <v/>
      </c>
    </row>
    <row r="15" customFormat="false" ht="18.75" hidden="false" customHeight="true" outlineLevel="0" collapsed="false">
      <c r="A15" s="14"/>
      <c r="B15" s="15"/>
      <c r="C15" s="15"/>
      <c r="D15" s="15"/>
      <c r="E15" s="16"/>
      <c r="F15" s="16"/>
      <c r="G15" s="16" t="str">
        <f aca="false">IF(AND(E15&lt;&gt;"",F15&lt;&gt;""),F15-E15,"")</f>
        <v/>
      </c>
      <c r="H15" s="17"/>
      <c r="I15" s="17" t="str">
        <f aca="false">IF(H15="","",H15-IF(G15="",0,G15*$L$4))</f>
        <v/>
      </c>
    </row>
    <row r="16" customFormat="false" ht="18.75" hidden="false" customHeight="true" outlineLevel="0" collapsed="false">
      <c r="A16" s="8"/>
      <c r="B16" s="9"/>
      <c r="C16" s="9"/>
      <c r="D16" s="9"/>
      <c r="E16" s="10"/>
      <c r="F16" s="10"/>
      <c r="G16" s="10" t="str">
        <f aca="false">IF(AND(E16&lt;&gt;"",F16&lt;&gt;""),F16-E16,"")</f>
        <v/>
      </c>
      <c r="H16" s="11"/>
      <c r="I16" s="11" t="str">
        <f aca="false">IF(H16="","",H16-IF(G16="",0,G16*$L$4))</f>
        <v/>
      </c>
    </row>
    <row r="17" customFormat="false" ht="18.75" hidden="false" customHeight="true" outlineLevel="0" collapsed="false">
      <c r="A17" s="14"/>
      <c r="B17" s="15"/>
      <c r="C17" s="15"/>
      <c r="D17" s="15"/>
      <c r="E17" s="16"/>
      <c r="F17" s="16"/>
      <c r="G17" s="16" t="str">
        <f aca="false">IF(AND(E17&lt;&gt;"",F17&lt;&gt;""),F17-E17,"")</f>
        <v/>
      </c>
      <c r="H17" s="17"/>
      <c r="I17" s="17" t="str">
        <f aca="false">IF(H17="","",H17-IF(G17="",0,G17*$L$4))</f>
        <v/>
      </c>
    </row>
    <row r="18" customFormat="false" ht="18.75" hidden="false" customHeight="true" outlineLevel="0" collapsed="false">
      <c r="A18" s="8"/>
      <c r="B18" s="9"/>
      <c r="C18" s="9"/>
      <c r="D18" s="9"/>
      <c r="E18" s="10"/>
      <c r="F18" s="10"/>
      <c r="G18" s="10" t="str">
        <f aca="false">IF(AND(E18&lt;&gt;"",F18&lt;&gt;""),F18-E18,"")</f>
        <v/>
      </c>
      <c r="H18" s="11"/>
      <c r="I18" s="11" t="str">
        <f aca="false">IF(H18="","",H18-IF(G18="",0,G18*$L$4))</f>
        <v/>
      </c>
    </row>
    <row r="19" customFormat="false" ht="18.75" hidden="false" customHeight="true" outlineLevel="0" collapsed="false">
      <c r="A19" s="14"/>
      <c r="B19" s="15"/>
      <c r="C19" s="15"/>
      <c r="D19" s="15"/>
      <c r="E19" s="16"/>
      <c r="F19" s="16"/>
      <c r="G19" s="16" t="str">
        <f aca="false">IF(AND(E19&lt;&gt;"",F19&lt;&gt;""),F19-E19,"")</f>
        <v/>
      </c>
      <c r="H19" s="17"/>
      <c r="I19" s="17" t="str">
        <f aca="false">IF(H19="","",H19-IF(G19="",0,G19*$L$4))</f>
        <v/>
      </c>
    </row>
    <row r="20" customFormat="false" ht="18.75" hidden="false" customHeight="true" outlineLevel="0" collapsed="false">
      <c r="A20" s="8"/>
      <c r="B20" s="9"/>
      <c r="C20" s="9"/>
      <c r="D20" s="9"/>
      <c r="E20" s="10"/>
      <c r="F20" s="10"/>
      <c r="G20" s="10" t="str">
        <f aca="false">IF(AND(E20&lt;&gt;"",F20&lt;&gt;""),F20-E20,"")</f>
        <v/>
      </c>
      <c r="H20" s="11"/>
      <c r="I20" s="11" t="str">
        <f aca="false">IF(H20="","",H20-IF(G20="",0,G20*$L$4))</f>
        <v/>
      </c>
    </row>
    <row r="21" customFormat="false" ht="18.75" hidden="false" customHeight="true" outlineLevel="0" collapsed="false">
      <c r="A21" s="14"/>
      <c r="B21" s="15"/>
      <c r="C21" s="15"/>
      <c r="D21" s="15"/>
      <c r="E21" s="16"/>
      <c r="F21" s="16"/>
      <c r="G21" s="16" t="str">
        <f aca="false">IF(AND(E21&lt;&gt;"",F21&lt;&gt;""),F21-E21,"")</f>
        <v/>
      </c>
      <c r="H21" s="17"/>
      <c r="I21" s="17" t="str">
        <f aca="false">IF(H21="","",H21-IF(G21="",0,G21*$L$4))</f>
        <v/>
      </c>
    </row>
    <row r="22" customFormat="false" ht="18.75" hidden="false" customHeight="true" outlineLevel="0" collapsed="false">
      <c r="A22" s="8"/>
      <c r="B22" s="9"/>
      <c r="C22" s="9"/>
      <c r="D22" s="9"/>
      <c r="E22" s="10"/>
      <c r="F22" s="10"/>
      <c r="G22" s="10" t="str">
        <f aca="false">IF(AND(E22&lt;&gt;"",F22&lt;&gt;""),F22-E22,"")</f>
        <v/>
      </c>
      <c r="H22" s="11"/>
      <c r="I22" s="11" t="str">
        <f aca="false">IF(H22="","",H22-IF(G22="",0,G22*$L$4))</f>
        <v/>
      </c>
    </row>
    <row r="23" customFormat="false" ht="18.75" hidden="false" customHeight="true" outlineLevel="0" collapsed="false">
      <c r="A23" s="14"/>
      <c r="B23" s="15"/>
      <c r="C23" s="15"/>
      <c r="D23" s="15"/>
      <c r="E23" s="16"/>
      <c r="F23" s="16"/>
      <c r="G23" s="16" t="str">
        <f aca="false">IF(AND(E23&lt;&gt;"",F23&lt;&gt;""),F23-E23,"")</f>
        <v/>
      </c>
      <c r="H23" s="17"/>
      <c r="I23" s="17" t="str">
        <f aca="false">IF(H23="","",H23-IF(G23="",0,G23*$L$4))</f>
        <v/>
      </c>
    </row>
    <row r="24" customFormat="false" ht="18.75" hidden="false" customHeight="true" outlineLevel="0" collapsed="false">
      <c r="A24" s="8"/>
      <c r="B24" s="9"/>
      <c r="C24" s="9"/>
      <c r="D24" s="9"/>
      <c r="E24" s="10"/>
      <c r="F24" s="10"/>
      <c r="G24" s="10" t="str">
        <f aca="false">IF(AND(E24&lt;&gt;"",F24&lt;&gt;""),F24-E24,"")</f>
        <v/>
      </c>
      <c r="H24" s="11"/>
      <c r="I24" s="11" t="str">
        <f aca="false">IF(H24="","",H24-IF(G24="",0,G24*$L$4))</f>
        <v/>
      </c>
    </row>
    <row r="25" customFormat="false" ht="18.75" hidden="false" customHeight="true" outlineLevel="0" collapsed="false">
      <c r="A25" s="14"/>
      <c r="B25" s="15"/>
      <c r="C25" s="15"/>
      <c r="D25" s="15"/>
      <c r="E25" s="16"/>
      <c r="F25" s="16"/>
      <c r="G25" s="16" t="str">
        <f aca="false">IF(AND(E25&lt;&gt;"",F25&lt;&gt;""),F25-E25,"")</f>
        <v/>
      </c>
      <c r="H25" s="17"/>
      <c r="I25" s="17" t="str">
        <f aca="false">IF(H25="","",H25-IF(G25="",0,G25*$L$4))</f>
        <v/>
      </c>
    </row>
    <row r="26" customFormat="false" ht="18.75" hidden="false" customHeight="true" outlineLevel="0" collapsed="false">
      <c r="A26" s="8"/>
      <c r="B26" s="9"/>
      <c r="C26" s="9"/>
      <c r="D26" s="9"/>
      <c r="E26" s="10"/>
      <c r="F26" s="10"/>
      <c r="G26" s="10" t="str">
        <f aca="false">IF(AND(E26&lt;&gt;"",F26&lt;&gt;""),F26-E26,"")</f>
        <v/>
      </c>
      <c r="H26" s="11"/>
      <c r="I26" s="11" t="str">
        <f aca="false">IF(H26="","",H26-IF(G26="",0,G26*$L$4))</f>
        <v/>
      </c>
    </row>
    <row r="27" customFormat="false" ht="18.75" hidden="false" customHeight="true" outlineLevel="0" collapsed="false">
      <c r="A27" s="14"/>
      <c r="B27" s="15"/>
      <c r="C27" s="15"/>
      <c r="D27" s="15"/>
      <c r="E27" s="16"/>
      <c r="F27" s="16"/>
      <c r="G27" s="16" t="str">
        <f aca="false">IF(AND(E27&lt;&gt;"",F27&lt;&gt;""),F27-E27,"")</f>
        <v/>
      </c>
      <c r="H27" s="17"/>
      <c r="I27" s="17" t="str">
        <f aca="false">IF(H27="","",H27-IF(G27="",0,G27*$L$4))</f>
        <v/>
      </c>
    </row>
    <row r="28" customFormat="false" ht="18.75" hidden="false" customHeight="true" outlineLevel="0" collapsed="false">
      <c r="A28" s="8"/>
      <c r="B28" s="9"/>
      <c r="C28" s="9"/>
      <c r="D28" s="9"/>
      <c r="E28" s="10"/>
      <c r="F28" s="10"/>
      <c r="G28" s="10" t="str">
        <f aca="false">IF(AND(E28&lt;&gt;"",F28&lt;&gt;""),F28-E28,"")</f>
        <v/>
      </c>
      <c r="H28" s="11"/>
      <c r="I28" s="11" t="str">
        <f aca="false">IF(H28="","",H28-IF(G28="",0,G28*$L$4))</f>
        <v/>
      </c>
    </row>
    <row r="29" customFormat="false" ht="18.75" hidden="false" customHeight="true" outlineLevel="0" collapsed="false">
      <c r="A29" s="14"/>
      <c r="B29" s="15"/>
      <c r="C29" s="15"/>
      <c r="D29" s="15"/>
      <c r="E29" s="16"/>
      <c r="F29" s="16"/>
      <c r="G29" s="16" t="str">
        <f aca="false">IF(AND(E29&lt;&gt;"",F29&lt;&gt;""),F29-E29,"")</f>
        <v/>
      </c>
      <c r="H29" s="17"/>
      <c r="I29" s="17" t="str">
        <f aca="false">IF(H29="","",H29-IF(G29="",0,G29*$L$4))</f>
        <v/>
      </c>
    </row>
    <row r="30" customFormat="false" ht="18.75" hidden="false" customHeight="true" outlineLevel="0" collapsed="false">
      <c r="A30" s="8"/>
      <c r="B30" s="9"/>
      <c r="C30" s="9"/>
      <c r="D30" s="9"/>
      <c r="E30" s="10"/>
      <c r="F30" s="10"/>
      <c r="G30" s="10" t="str">
        <f aca="false">IF(AND(E30&lt;&gt;"",F30&lt;&gt;""),F30-E30,"")</f>
        <v/>
      </c>
      <c r="H30" s="11"/>
      <c r="I30" s="11" t="str">
        <f aca="false">IF(H30="","",H30-IF(G30="",0,G30*$L$4))</f>
        <v/>
      </c>
    </row>
    <row r="31" customFormat="false" ht="18.75" hidden="false" customHeight="true" outlineLevel="0" collapsed="false">
      <c r="A31" s="14"/>
      <c r="B31" s="15"/>
      <c r="C31" s="15"/>
      <c r="D31" s="15"/>
      <c r="E31" s="16"/>
      <c r="F31" s="16"/>
      <c r="G31" s="16" t="str">
        <f aca="false">IF(AND(E31&lt;&gt;"",F31&lt;&gt;""),F31-E31,"")</f>
        <v/>
      </c>
      <c r="H31" s="17"/>
      <c r="I31" s="17" t="str">
        <f aca="false">IF(H31="","",H31-IF(G31="",0,G31*$L$4))</f>
        <v/>
      </c>
    </row>
    <row r="32" customFormat="false" ht="18.75" hidden="false" customHeight="true" outlineLevel="0" collapsed="false">
      <c r="A32" s="8"/>
      <c r="B32" s="9"/>
      <c r="C32" s="9"/>
      <c r="D32" s="9"/>
      <c r="E32" s="10"/>
      <c r="F32" s="10"/>
      <c r="G32" s="10" t="str">
        <f aca="false">IF(AND(E32&lt;&gt;"",F32&lt;&gt;""),F32-E32,"")</f>
        <v/>
      </c>
      <c r="H32" s="11"/>
      <c r="I32" s="11" t="str">
        <f aca="false">IF(H32="","",H32-IF(G32="",0,G32*$L$4))</f>
        <v/>
      </c>
    </row>
    <row r="33" customFormat="false" ht="18.75" hidden="false" customHeight="true" outlineLevel="0" collapsed="false">
      <c r="A33" s="14"/>
      <c r="B33" s="15"/>
      <c r="C33" s="15"/>
      <c r="D33" s="15"/>
      <c r="E33" s="16"/>
      <c r="F33" s="16"/>
      <c r="G33" s="16" t="str">
        <f aca="false">IF(AND(E33&lt;&gt;"",F33&lt;&gt;""),F33-E33,"")</f>
        <v/>
      </c>
      <c r="H33" s="17"/>
      <c r="I33" s="17" t="str">
        <f aca="false">IF(H33="","",H33-IF(G33="",0,G33*$L$4))</f>
        <v/>
      </c>
    </row>
    <row r="34" customFormat="false" ht="18.75" hidden="false" customHeight="true" outlineLevel="0" collapsed="false">
      <c r="A34" s="8"/>
      <c r="B34" s="9"/>
      <c r="C34" s="9"/>
      <c r="D34" s="9"/>
      <c r="E34" s="10"/>
      <c r="F34" s="10"/>
      <c r="G34" s="10" t="str">
        <f aca="false">IF(AND(E34&lt;&gt;"",F34&lt;&gt;""),F34-E34,"")</f>
        <v/>
      </c>
      <c r="H34" s="11"/>
      <c r="I34" s="11" t="str">
        <f aca="false">IF(H34="","",H34-IF(G34="",0,G34*$L$4))</f>
        <v/>
      </c>
    </row>
    <row r="35" customFormat="false" ht="18.75" hidden="false" customHeight="true" outlineLevel="0" collapsed="false">
      <c r="A35" s="14"/>
      <c r="B35" s="15"/>
      <c r="C35" s="15"/>
      <c r="D35" s="15"/>
      <c r="E35" s="16"/>
      <c r="F35" s="16"/>
      <c r="G35" s="16" t="str">
        <f aca="false">IF(AND(E35&lt;&gt;"",F35&lt;&gt;""),F35-E35,"")</f>
        <v/>
      </c>
      <c r="H35" s="17"/>
      <c r="I35" s="17" t="str">
        <f aca="false">IF(H35="","",H35-IF(G35="",0,G35*$L$4))</f>
        <v/>
      </c>
    </row>
    <row r="36" customFormat="false" ht="18.75" hidden="false" customHeight="true" outlineLevel="0" collapsed="false">
      <c r="A36" s="8"/>
      <c r="B36" s="9"/>
      <c r="C36" s="9"/>
      <c r="D36" s="9"/>
      <c r="E36" s="10"/>
      <c r="F36" s="10"/>
      <c r="G36" s="10" t="str">
        <f aca="false">IF(AND(E36&lt;&gt;"",F36&lt;&gt;""),F36-E36,"")</f>
        <v/>
      </c>
      <c r="H36" s="11"/>
      <c r="I36" s="11" t="str">
        <f aca="false">IF(H36="","",H36-IF(G36="",0,G36*$L$4))</f>
        <v/>
      </c>
    </row>
    <row r="37" customFormat="false" ht="18.75" hidden="false" customHeight="true" outlineLevel="0" collapsed="false">
      <c r="A37" s="14"/>
      <c r="B37" s="15"/>
      <c r="C37" s="15"/>
      <c r="D37" s="15"/>
      <c r="E37" s="16"/>
      <c r="F37" s="16"/>
      <c r="G37" s="16" t="str">
        <f aca="false">IF(AND(E37&lt;&gt;"",F37&lt;&gt;""),F37-E37,"")</f>
        <v/>
      </c>
      <c r="H37" s="17"/>
      <c r="I37" s="17" t="str">
        <f aca="false">IF(H37="","",H37-IF(G37="",0,G37*$L$4))</f>
        <v/>
      </c>
    </row>
    <row r="38" customFormat="false" ht="18.75" hidden="false" customHeight="true" outlineLevel="0" collapsed="false">
      <c r="A38" s="8"/>
      <c r="B38" s="9"/>
      <c r="C38" s="9"/>
      <c r="D38" s="9"/>
      <c r="E38" s="10"/>
      <c r="F38" s="10"/>
      <c r="G38" s="10" t="str">
        <f aca="false">IF(AND(E38&lt;&gt;"",F38&lt;&gt;""),F38-E38,"")</f>
        <v/>
      </c>
      <c r="H38" s="11"/>
      <c r="I38" s="11" t="str">
        <f aca="false">IF(H38="","",H38-IF(G38="",0,G38*$L$4))</f>
        <v/>
      </c>
    </row>
    <row r="39" customFormat="false" ht="18.75" hidden="false" customHeight="true" outlineLevel="0" collapsed="false">
      <c r="A39" s="14"/>
      <c r="B39" s="15"/>
      <c r="C39" s="15"/>
      <c r="D39" s="15"/>
      <c r="E39" s="16"/>
      <c r="F39" s="16"/>
      <c r="G39" s="16" t="str">
        <f aca="false">IF(AND(E39&lt;&gt;"",F39&lt;&gt;""),F39-E39,"")</f>
        <v/>
      </c>
      <c r="H39" s="17"/>
      <c r="I39" s="17" t="str">
        <f aca="false">IF(H39="","",H39-IF(G39="",0,G39*$L$4))</f>
        <v/>
      </c>
    </row>
    <row r="40" customFormat="false" ht="18.75" hidden="false" customHeight="true" outlineLevel="0" collapsed="false">
      <c r="A40" s="8"/>
      <c r="B40" s="9"/>
      <c r="C40" s="9"/>
      <c r="D40" s="9"/>
      <c r="E40" s="10"/>
      <c r="F40" s="10"/>
      <c r="G40" s="10" t="str">
        <f aca="false">IF(AND(E40&lt;&gt;"",F40&lt;&gt;""),F40-E40,"")</f>
        <v/>
      </c>
      <c r="H40" s="11"/>
      <c r="I40" s="11" t="str">
        <f aca="false">IF(H40="","",H40-IF(G40="",0,G40*$L$4))</f>
        <v/>
      </c>
    </row>
    <row r="41" customFormat="false" ht="18.75" hidden="false" customHeight="true" outlineLevel="0" collapsed="false">
      <c r="A41" s="14"/>
      <c r="B41" s="15"/>
      <c r="C41" s="15"/>
      <c r="D41" s="15"/>
      <c r="E41" s="16"/>
      <c r="F41" s="16"/>
      <c r="G41" s="16" t="str">
        <f aca="false">IF(AND(E41&lt;&gt;"",F41&lt;&gt;""),F41-E41,"")</f>
        <v/>
      </c>
      <c r="H41" s="17"/>
      <c r="I41" s="17" t="str">
        <f aca="false">IF(H41="","",H41-IF(G41="",0,G41*$L$4))</f>
        <v/>
      </c>
    </row>
    <row r="42" customFormat="false" ht="18.75" hidden="false" customHeight="true" outlineLevel="0" collapsed="false">
      <c r="A42" s="8"/>
      <c r="B42" s="9"/>
      <c r="C42" s="9"/>
      <c r="D42" s="9"/>
      <c r="E42" s="10"/>
      <c r="F42" s="10"/>
      <c r="G42" s="10" t="str">
        <f aca="false">IF(AND(E42&lt;&gt;"",F42&lt;&gt;""),F42-E42,"")</f>
        <v/>
      </c>
      <c r="H42" s="11"/>
      <c r="I42" s="11" t="str">
        <f aca="false">IF(H42="","",H42-IF(G42="",0,G42*$L$4))</f>
        <v/>
      </c>
    </row>
    <row r="43" customFormat="false" ht="18.75" hidden="false" customHeight="true" outlineLevel="0" collapsed="false">
      <c r="A43" s="14"/>
      <c r="B43" s="15"/>
      <c r="C43" s="15"/>
      <c r="D43" s="15"/>
      <c r="E43" s="16"/>
      <c r="F43" s="16"/>
      <c r="G43" s="16" t="str">
        <f aca="false">IF(AND(E43&lt;&gt;"",F43&lt;&gt;""),F43-E43,"")</f>
        <v/>
      </c>
      <c r="H43" s="17"/>
      <c r="I43" s="17" t="str">
        <f aca="false">IF(H43="","",H43-IF(G43="",0,G43*$L$4))</f>
        <v/>
      </c>
    </row>
    <row r="44" customFormat="false" ht="25.5" hidden="false" customHeight="true" outlineLevel="0" collapsed="false">
      <c r="A44" s="19"/>
      <c r="B44" s="19"/>
      <c r="C44" s="19"/>
      <c r="D44" s="20" t="s">
        <v>14</v>
      </c>
      <c r="E44" s="19"/>
      <c r="F44" s="19"/>
      <c r="G44" s="21" t="n">
        <f aca="false">SUM(G4:G43)</f>
        <v>0</v>
      </c>
      <c r="H44" s="22" t="n">
        <f aca="false">SUM(H4:H43)</f>
        <v>0</v>
      </c>
      <c r="I44" s="22" t="n">
        <f aca="false">SUM(I4:I43)</f>
        <v>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4" min="3" style="0" width="13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30" hidden="false" customHeight="true" outlineLevel="0" collapsed="false">
      <c r="A1" s="1" t="s">
        <v>15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16</v>
      </c>
      <c r="B2" s="2"/>
      <c r="C2" s="2"/>
      <c r="D2" s="2"/>
      <c r="E2" s="2"/>
      <c r="F2" s="2"/>
      <c r="G2" s="2"/>
      <c r="H2" s="2"/>
    </row>
    <row r="3" customFormat="false" ht="25.5" hidden="false" customHeight="true" outlineLevel="0" collapsed="false">
      <c r="A3" s="3" t="s">
        <v>2</v>
      </c>
      <c r="B3" s="4" t="s">
        <v>17</v>
      </c>
      <c r="C3" s="5" t="s">
        <v>18</v>
      </c>
      <c r="D3" s="5" t="s">
        <v>19</v>
      </c>
      <c r="E3" s="5" t="s">
        <v>20</v>
      </c>
      <c r="F3" s="5" t="s">
        <v>21</v>
      </c>
      <c r="G3" s="5" t="s">
        <v>22</v>
      </c>
      <c r="H3" s="5" t="s">
        <v>23</v>
      </c>
    </row>
    <row r="4" customFormat="false" ht="18.75" hidden="false" customHeight="true" outlineLevel="0" collapsed="false">
      <c r="A4" s="8"/>
      <c r="B4" s="9"/>
      <c r="C4" s="11"/>
      <c r="D4" s="11"/>
      <c r="E4" s="11" t="str">
        <f aca="false">IF(AND(C4&lt;&gt;"",D4&lt;&gt;""),C4*D4,"")</f>
        <v/>
      </c>
      <c r="F4" s="10"/>
      <c r="G4" s="10"/>
      <c r="H4" s="23"/>
    </row>
    <row r="5" customFormat="false" ht="18.75" hidden="false" customHeight="true" outlineLevel="0" collapsed="false">
      <c r="A5" s="14"/>
      <c r="B5" s="15"/>
      <c r="C5" s="17"/>
      <c r="D5" s="17"/>
      <c r="E5" s="17" t="str">
        <f aca="false">IF(AND(C5&lt;&gt;"",D5&lt;&gt;""),C5*D5,"")</f>
        <v/>
      </c>
      <c r="F5" s="16"/>
      <c r="G5" s="16" t="str">
        <f aca="false">IF(AND(F5&lt;&gt;"",F4&lt;&gt;""),F5-F4,"")</f>
        <v/>
      </c>
      <c r="H5" s="24" t="str">
        <f aca="false">IF(AND(G5&lt;&gt;"",G5&gt;0,C5&lt;&gt;""),C5/G5*100,"")</f>
        <v/>
      </c>
    </row>
    <row r="6" customFormat="false" ht="18.75" hidden="false" customHeight="true" outlineLevel="0" collapsed="false">
      <c r="A6" s="8"/>
      <c r="B6" s="9"/>
      <c r="C6" s="11"/>
      <c r="D6" s="11"/>
      <c r="E6" s="11" t="str">
        <f aca="false">IF(AND(C6&lt;&gt;"",D6&lt;&gt;""),C6*D6,"")</f>
        <v/>
      </c>
      <c r="F6" s="10"/>
      <c r="G6" s="10" t="str">
        <f aca="false">IF(AND(F6&lt;&gt;"",F5&lt;&gt;""),F6-F5,"")</f>
        <v/>
      </c>
      <c r="H6" s="23" t="str">
        <f aca="false">IF(AND(G6&lt;&gt;"",G6&gt;0,C6&lt;&gt;""),C6/G6*100,"")</f>
        <v/>
      </c>
    </row>
    <row r="7" customFormat="false" ht="18.75" hidden="false" customHeight="true" outlineLevel="0" collapsed="false">
      <c r="A7" s="14"/>
      <c r="B7" s="15"/>
      <c r="C7" s="17"/>
      <c r="D7" s="17"/>
      <c r="E7" s="17" t="str">
        <f aca="false">IF(AND(C7&lt;&gt;"",D7&lt;&gt;""),C7*D7,"")</f>
        <v/>
      </c>
      <c r="F7" s="16"/>
      <c r="G7" s="16" t="str">
        <f aca="false">IF(AND(F7&lt;&gt;"",F6&lt;&gt;""),F7-F6,"")</f>
        <v/>
      </c>
      <c r="H7" s="24" t="str">
        <f aca="false">IF(AND(G7&lt;&gt;"",G7&gt;0,C7&lt;&gt;""),C7/G7*100,"")</f>
        <v/>
      </c>
    </row>
    <row r="8" customFormat="false" ht="18.75" hidden="false" customHeight="true" outlineLevel="0" collapsed="false">
      <c r="A8" s="8"/>
      <c r="B8" s="9"/>
      <c r="C8" s="11"/>
      <c r="D8" s="11"/>
      <c r="E8" s="11" t="str">
        <f aca="false">IF(AND(C8&lt;&gt;"",D8&lt;&gt;""),C8*D8,"")</f>
        <v/>
      </c>
      <c r="F8" s="10"/>
      <c r="G8" s="10" t="str">
        <f aca="false">IF(AND(F8&lt;&gt;"",F7&lt;&gt;""),F8-F7,"")</f>
        <v/>
      </c>
      <c r="H8" s="23" t="str">
        <f aca="false">IF(AND(G8&lt;&gt;"",G8&gt;0,C8&lt;&gt;""),C8/G8*100,"")</f>
        <v/>
      </c>
    </row>
    <row r="9" customFormat="false" ht="18.75" hidden="false" customHeight="true" outlineLevel="0" collapsed="false">
      <c r="A9" s="14"/>
      <c r="B9" s="15"/>
      <c r="C9" s="17"/>
      <c r="D9" s="17"/>
      <c r="E9" s="17" t="str">
        <f aca="false">IF(AND(C9&lt;&gt;"",D9&lt;&gt;""),C9*D9,"")</f>
        <v/>
      </c>
      <c r="F9" s="16"/>
      <c r="G9" s="16" t="str">
        <f aca="false">IF(AND(F9&lt;&gt;"",F8&lt;&gt;""),F9-F8,"")</f>
        <v/>
      </c>
      <c r="H9" s="24" t="str">
        <f aca="false">IF(AND(G9&lt;&gt;"",G9&gt;0,C9&lt;&gt;""),C9/G9*100,"")</f>
        <v/>
      </c>
    </row>
    <row r="10" customFormat="false" ht="18.75" hidden="false" customHeight="true" outlineLevel="0" collapsed="false">
      <c r="A10" s="8"/>
      <c r="B10" s="9"/>
      <c r="C10" s="11"/>
      <c r="D10" s="11"/>
      <c r="E10" s="11" t="str">
        <f aca="false">IF(AND(C10&lt;&gt;"",D10&lt;&gt;""),C10*D10,"")</f>
        <v/>
      </c>
      <c r="F10" s="10"/>
      <c r="G10" s="10" t="str">
        <f aca="false">IF(AND(F10&lt;&gt;"",F9&lt;&gt;""),F10-F9,"")</f>
        <v/>
      </c>
      <c r="H10" s="23" t="str">
        <f aca="false">IF(AND(G10&lt;&gt;"",G10&gt;0,C10&lt;&gt;""),C10/G10*100,"")</f>
        <v/>
      </c>
    </row>
    <row r="11" customFormat="false" ht="18.75" hidden="false" customHeight="true" outlineLevel="0" collapsed="false">
      <c r="A11" s="14"/>
      <c r="B11" s="15"/>
      <c r="C11" s="17"/>
      <c r="D11" s="17"/>
      <c r="E11" s="17" t="str">
        <f aca="false">IF(AND(C11&lt;&gt;"",D11&lt;&gt;""),C11*D11,"")</f>
        <v/>
      </c>
      <c r="F11" s="16"/>
      <c r="G11" s="16" t="str">
        <f aca="false">IF(AND(F11&lt;&gt;"",F10&lt;&gt;""),F11-F10,"")</f>
        <v/>
      </c>
      <c r="H11" s="24" t="str">
        <f aca="false">IF(AND(G11&lt;&gt;"",G11&gt;0,C11&lt;&gt;""),C11/G11*100,"")</f>
        <v/>
      </c>
    </row>
    <row r="12" customFormat="false" ht="18.75" hidden="false" customHeight="true" outlineLevel="0" collapsed="false">
      <c r="A12" s="8"/>
      <c r="B12" s="9"/>
      <c r="C12" s="11"/>
      <c r="D12" s="11"/>
      <c r="E12" s="11" t="str">
        <f aca="false">IF(AND(C12&lt;&gt;"",D12&lt;&gt;""),C12*D12,"")</f>
        <v/>
      </c>
      <c r="F12" s="10"/>
      <c r="G12" s="10" t="str">
        <f aca="false">IF(AND(F12&lt;&gt;"",F11&lt;&gt;""),F12-F11,"")</f>
        <v/>
      </c>
      <c r="H12" s="23" t="str">
        <f aca="false">IF(AND(G12&lt;&gt;"",G12&gt;0,C12&lt;&gt;""),C12/G12*100,"")</f>
        <v/>
      </c>
    </row>
    <row r="13" customFormat="false" ht="18.75" hidden="false" customHeight="true" outlineLevel="0" collapsed="false">
      <c r="A13" s="14"/>
      <c r="B13" s="15"/>
      <c r="C13" s="17"/>
      <c r="D13" s="17"/>
      <c r="E13" s="17" t="str">
        <f aca="false">IF(AND(C13&lt;&gt;"",D13&lt;&gt;""),C13*D13,"")</f>
        <v/>
      </c>
      <c r="F13" s="16"/>
      <c r="G13" s="16" t="str">
        <f aca="false">IF(AND(F13&lt;&gt;"",F12&lt;&gt;""),F13-F12,"")</f>
        <v/>
      </c>
      <c r="H13" s="24" t="str">
        <f aca="false">IF(AND(G13&lt;&gt;"",G13&gt;0,C13&lt;&gt;""),C13/G13*100,"")</f>
        <v/>
      </c>
    </row>
    <row r="14" customFormat="false" ht="18.75" hidden="false" customHeight="true" outlineLevel="0" collapsed="false">
      <c r="A14" s="8"/>
      <c r="B14" s="9"/>
      <c r="C14" s="11"/>
      <c r="D14" s="11"/>
      <c r="E14" s="11" t="str">
        <f aca="false">IF(AND(C14&lt;&gt;"",D14&lt;&gt;""),C14*D14,"")</f>
        <v/>
      </c>
      <c r="F14" s="10"/>
      <c r="G14" s="10" t="str">
        <f aca="false">IF(AND(F14&lt;&gt;"",F13&lt;&gt;""),F14-F13,"")</f>
        <v/>
      </c>
      <c r="H14" s="23" t="str">
        <f aca="false">IF(AND(G14&lt;&gt;"",G14&gt;0,C14&lt;&gt;""),C14/G14*100,"")</f>
        <v/>
      </c>
    </row>
    <row r="15" customFormat="false" ht="18.75" hidden="false" customHeight="true" outlineLevel="0" collapsed="false">
      <c r="A15" s="14"/>
      <c r="B15" s="15"/>
      <c r="C15" s="17"/>
      <c r="D15" s="17"/>
      <c r="E15" s="17" t="str">
        <f aca="false">IF(AND(C15&lt;&gt;"",D15&lt;&gt;""),C15*D15,"")</f>
        <v/>
      </c>
      <c r="F15" s="16"/>
      <c r="G15" s="16" t="str">
        <f aca="false">IF(AND(F15&lt;&gt;"",F14&lt;&gt;""),F15-F14,"")</f>
        <v/>
      </c>
      <c r="H15" s="24" t="str">
        <f aca="false">IF(AND(G15&lt;&gt;"",G15&gt;0,C15&lt;&gt;""),C15/G15*100,"")</f>
        <v/>
      </c>
    </row>
    <row r="16" customFormat="false" ht="18.75" hidden="false" customHeight="true" outlineLevel="0" collapsed="false">
      <c r="A16" s="8"/>
      <c r="B16" s="9"/>
      <c r="C16" s="11"/>
      <c r="D16" s="11"/>
      <c r="E16" s="11" t="str">
        <f aca="false">IF(AND(C16&lt;&gt;"",D16&lt;&gt;""),C16*D16,"")</f>
        <v/>
      </c>
      <c r="F16" s="10"/>
      <c r="G16" s="10" t="str">
        <f aca="false">IF(AND(F16&lt;&gt;"",F15&lt;&gt;""),F16-F15,"")</f>
        <v/>
      </c>
      <c r="H16" s="23" t="str">
        <f aca="false">IF(AND(G16&lt;&gt;"",G16&gt;0,C16&lt;&gt;""),C16/G16*100,"")</f>
        <v/>
      </c>
    </row>
    <row r="17" customFormat="false" ht="18.75" hidden="false" customHeight="true" outlineLevel="0" collapsed="false">
      <c r="A17" s="14"/>
      <c r="B17" s="15"/>
      <c r="C17" s="17"/>
      <c r="D17" s="17"/>
      <c r="E17" s="17" t="str">
        <f aca="false">IF(AND(C17&lt;&gt;"",D17&lt;&gt;""),C17*D17,"")</f>
        <v/>
      </c>
      <c r="F17" s="16"/>
      <c r="G17" s="16" t="str">
        <f aca="false">IF(AND(F17&lt;&gt;"",F16&lt;&gt;""),F17-F16,"")</f>
        <v/>
      </c>
      <c r="H17" s="24" t="str">
        <f aca="false">IF(AND(G17&lt;&gt;"",G17&gt;0,C17&lt;&gt;""),C17/G17*100,"")</f>
        <v/>
      </c>
    </row>
    <row r="18" customFormat="false" ht="18.75" hidden="false" customHeight="true" outlineLevel="0" collapsed="false">
      <c r="A18" s="8"/>
      <c r="B18" s="9"/>
      <c r="C18" s="11"/>
      <c r="D18" s="11"/>
      <c r="E18" s="11" t="str">
        <f aca="false">IF(AND(C18&lt;&gt;"",D18&lt;&gt;""),C18*D18,"")</f>
        <v/>
      </c>
      <c r="F18" s="10"/>
      <c r="G18" s="10" t="str">
        <f aca="false">IF(AND(F18&lt;&gt;"",F17&lt;&gt;""),F18-F17,"")</f>
        <v/>
      </c>
      <c r="H18" s="23" t="str">
        <f aca="false">IF(AND(G18&lt;&gt;"",G18&gt;0,C18&lt;&gt;""),C18/G18*100,"")</f>
        <v/>
      </c>
    </row>
    <row r="19" customFormat="false" ht="18.75" hidden="false" customHeight="true" outlineLevel="0" collapsed="false">
      <c r="A19" s="14"/>
      <c r="B19" s="15"/>
      <c r="C19" s="17"/>
      <c r="D19" s="17"/>
      <c r="E19" s="17" t="str">
        <f aca="false">IF(AND(C19&lt;&gt;"",D19&lt;&gt;""),C19*D19,"")</f>
        <v/>
      </c>
      <c r="F19" s="16"/>
      <c r="G19" s="16" t="str">
        <f aca="false">IF(AND(F19&lt;&gt;"",F18&lt;&gt;""),F19-F18,"")</f>
        <v/>
      </c>
      <c r="H19" s="24" t="str">
        <f aca="false">IF(AND(G19&lt;&gt;"",G19&gt;0,C19&lt;&gt;""),C19/G19*100,"")</f>
        <v/>
      </c>
    </row>
    <row r="20" customFormat="false" ht="18.75" hidden="false" customHeight="true" outlineLevel="0" collapsed="false">
      <c r="A20" s="8"/>
      <c r="B20" s="9"/>
      <c r="C20" s="11"/>
      <c r="D20" s="11"/>
      <c r="E20" s="11" t="str">
        <f aca="false">IF(AND(C20&lt;&gt;"",D20&lt;&gt;""),C20*D20,"")</f>
        <v/>
      </c>
      <c r="F20" s="10"/>
      <c r="G20" s="10" t="str">
        <f aca="false">IF(AND(F20&lt;&gt;"",F19&lt;&gt;""),F20-F19,"")</f>
        <v/>
      </c>
      <c r="H20" s="23" t="str">
        <f aca="false">IF(AND(G20&lt;&gt;"",G20&gt;0,C20&lt;&gt;""),C20/G20*100,"")</f>
        <v/>
      </c>
    </row>
    <row r="21" customFormat="false" ht="18.75" hidden="false" customHeight="true" outlineLevel="0" collapsed="false">
      <c r="A21" s="14"/>
      <c r="B21" s="15"/>
      <c r="C21" s="17"/>
      <c r="D21" s="17"/>
      <c r="E21" s="17" t="str">
        <f aca="false">IF(AND(C21&lt;&gt;"",D21&lt;&gt;""),C21*D21,"")</f>
        <v/>
      </c>
      <c r="F21" s="16"/>
      <c r="G21" s="16" t="str">
        <f aca="false">IF(AND(F21&lt;&gt;"",F20&lt;&gt;""),F21-F20,"")</f>
        <v/>
      </c>
      <c r="H21" s="24" t="str">
        <f aca="false">IF(AND(G21&lt;&gt;"",G21&gt;0,C21&lt;&gt;""),C21/G21*100,"")</f>
        <v/>
      </c>
    </row>
    <row r="22" customFormat="false" ht="18.75" hidden="false" customHeight="true" outlineLevel="0" collapsed="false">
      <c r="A22" s="8"/>
      <c r="B22" s="9"/>
      <c r="C22" s="11"/>
      <c r="D22" s="11"/>
      <c r="E22" s="11" t="str">
        <f aca="false">IF(AND(C22&lt;&gt;"",D22&lt;&gt;""),C22*D22,"")</f>
        <v/>
      </c>
      <c r="F22" s="10"/>
      <c r="G22" s="10" t="str">
        <f aca="false">IF(AND(F22&lt;&gt;"",F21&lt;&gt;""),F22-F21,"")</f>
        <v/>
      </c>
      <c r="H22" s="23" t="str">
        <f aca="false">IF(AND(G22&lt;&gt;"",G22&gt;0,C22&lt;&gt;""),C22/G22*100,"")</f>
        <v/>
      </c>
    </row>
    <row r="23" customFormat="false" ht="18.75" hidden="false" customHeight="true" outlineLevel="0" collapsed="false">
      <c r="A23" s="14"/>
      <c r="B23" s="15"/>
      <c r="C23" s="17"/>
      <c r="D23" s="17"/>
      <c r="E23" s="17" t="str">
        <f aca="false">IF(AND(C23&lt;&gt;"",D23&lt;&gt;""),C23*D23,"")</f>
        <v/>
      </c>
      <c r="F23" s="16"/>
      <c r="G23" s="16" t="str">
        <f aca="false">IF(AND(F23&lt;&gt;"",F22&lt;&gt;""),F23-F22,"")</f>
        <v/>
      </c>
      <c r="H23" s="24" t="str">
        <f aca="false">IF(AND(G23&lt;&gt;"",G23&gt;0,C23&lt;&gt;""),C23/G23*100,"")</f>
        <v/>
      </c>
    </row>
    <row r="24" customFormat="false" ht="18.75" hidden="false" customHeight="true" outlineLevel="0" collapsed="false">
      <c r="A24" s="8"/>
      <c r="B24" s="9"/>
      <c r="C24" s="11"/>
      <c r="D24" s="11"/>
      <c r="E24" s="11" t="str">
        <f aca="false">IF(AND(C24&lt;&gt;"",D24&lt;&gt;""),C24*D24,"")</f>
        <v/>
      </c>
      <c r="F24" s="10"/>
      <c r="G24" s="10" t="str">
        <f aca="false">IF(AND(F24&lt;&gt;"",F23&lt;&gt;""),F24-F23,"")</f>
        <v/>
      </c>
      <c r="H24" s="23" t="str">
        <f aca="false">IF(AND(G24&lt;&gt;"",G24&gt;0,C24&lt;&gt;""),C24/G24*100,"")</f>
        <v/>
      </c>
    </row>
    <row r="25" customFormat="false" ht="18.75" hidden="false" customHeight="true" outlineLevel="0" collapsed="false">
      <c r="A25" s="14"/>
      <c r="B25" s="15"/>
      <c r="C25" s="17"/>
      <c r="D25" s="17"/>
      <c r="E25" s="17" t="str">
        <f aca="false">IF(AND(C25&lt;&gt;"",D25&lt;&gt;""),C25*D25,"")</f>
        <v/>
      </c>
      <c r="F25" s="16"/>
      <c r="G25" s="16" t="str">
        <f aca="false">IF(AND(F25&lt;&gt;"",F24&lt;&gt;""),F25-F24,"")</f>
        <v/>
      </c>
      <c r="H25" s="24" t="str">
        <f aca="false">IF(AND(G25&lt;&gt;"",G25&gt;0,C25&lt;&gt;""),C25/G25*100,"")</f>
        <v/>
      </c>
    </row>
    <row r="26" customFormat="false" ht="18.75" hidden="false" customHeight="true" outlineLevel="0" collapsed="false">
      <c r="A26" s="8"/>
      <c r="B26" s="9"/>
      <c r="C26" s="11"/>
      <c r="D26" s="11"/>
      <c r="E26" s="11" t="str">
        <f aca="false">IF(AND(C26&lt;&gt;"",D26&lt;&gt;""),C26*D26,"")</f>
        <v/>
      </c>
      <c r="F26" s="10"/>
      <c r="G26" s="10" t="str">
        <f aca="false">IF(AND(F26&lt;&gt;"",F25&lt;&gt;""),F26-F25,"")</f>
        <v/>
      </c>
      <c r="H26" s="23" t="str">
        <f aca="false">IF(AND(G26&lt;&gt;"",G26&gt;0,C26&lt;&gt;""),C26/G26*100,"")</f>
        <v/>
      </c>
    </row>
    <row r="27" customFormat="false" ht="18.75" hidden="false" customHeight="true" outlineLevel="0" collapsed="false">
      <c r="A27" s="14"/>
      <c r="B27" s="15"/>
      <c r="C27" s="17"/>
      <c r="D27" s="17"/>
      <c r="E27" s="17" t="str">
        <f aca="false">IF(AND(C27&lt;&gt;"",D27&lt;&gt;""),C27*D27,"")</f>
        <v/>
      </c>
      <c r="F27" s="16"/>
      <c r="G27" s="16" t="str">
        <f aca="false">IF(AND(F27&lt;&gt;"",F26&lt;&gt;""),F27-F26,"")</f>
        <v/>
      </c>
      <c r="H27" s="24" t="str">
        <f aca="false">IF(AND(G27&lt;&gt;"",G27&gt;0,C27&lt;&gt;""),C27/G27*100,"")</f>
        <v/>
      </c>
    </row>
    <row r="28" customFormat="false" ht="18.75" hidden="false" customHeight="true" outlineLevel="0" collapsed="false">
      <c r="A28" s="8"/>
      <c r="B28" s="9"/>
      <c r="C28" s="11"/>
      <c r="D28" s="11"/>
      <c r="E28" s="11" t="str">
        <f aca="false">IF(AND(C28&lt;&gt;"",D28&lt;&gt;""),C28*D28,"")</f>
        <v/>
      </c>
      <c r="F28" s="10"/>
      <c r="G28" s="10" t="str">
        <f aca="false">IF(AND(F28&lt;&gt;"",F27&lt;&gt;""),F28-F27,"")</f>
        <v/>
      </c>
      <c r="H28" s="23" t="str">
        <f aca="false">IF(AND(G28&lt;&gt;"",G28&gt;0,C28&lt;&gt;""),C28/G28*100,"")</f>
        <v/>
      </c>
    </row>
    <row r="29" customFormat="false" ht="18.75" hidden="false" customHeight="true" outlineLevel="0" collapsed="false">
      <c r="A29" s="14"/>
      <c r="B29" s="15"/>
      <c r="C29" s="17"/>
      <c r="D29" s="17"/>
      <c r="E29" s="17" t="str">
        <f aca="false">IF(AND(C29&lt;&gt;"",D29&lt;&gt;""),C29*D29,"")</f>
        <v/>
      </c>
      <c r="F29" s="16"/>
      <c r="G29" s="16" t="str">
        <f aca="false">IF(AND(F29&lt;&gt;"",F28&lt;&gt;""),F29-F28,"")</f>
        <v/>
      </c>
      <c r="H29" s="24" t="str">
        <f aca="false">IF(AND(G29&lt;&gt;"",G29&gt;0,C29&lt;&gt;""),C29/G29*100,"")</f>
        <v/>
      </c>
    </row>
    <row r="30" customFormat="false" ht="18.75" hidden="false" customHeight="true" outlineLevel="0" collapsed="false">
      <c r="A30" s="8"/>
      <c r="B30" s="9"/>
      <c r="C30" s="11"/>
      <c r="D30" s="11"/>
      <c r="E30" s="11" t="str">
        <f aca="false">IF(AND(C30&lt;&gt;"",D30&lt;&gt;""),C30*D30,"")</f>
        <v/>
      </c>
      <c r="F30" s="10"/>
      <c r="G30" s="10" t="str">
        <f aca="false">IF(AND(F30&lt;&gt;"",F29&lt;&gt;""),F30-F29,"")</f>
        <v/>
      </c>
      <c r="H30" s="23" t="str">
        <f aca="false">IF(AND(G30&lt;&gt;"",G30&gt;0,C30&lt;&gt;""),C30/G30*100,"")</f>
        <v/>
      </c>
    </row>
    <row r="31" customFormat="false" ht="18.75" hidden="false" customHeight="true" outlineLevel="0" collapsed="false">
      <c r="A31" s="14"/>
      <c r="B31" s="15"/>
      <c r="C31" s="17"/>
      <c r="D31" s="17"/>
      <c r="E31" s="17" t="str">
        <f aca="false">IF(AND(C31&lt;&gt;"",D31&lt;&gt;""),C31*D31,"")</f>
        <v/>
      </c>
      <c r="F31" s="16"/>
      <c r="G31" s="16" t="str">
        <f aca="false">IF(AND(F31&lt;&gt;"",F30&lt;&gt;""),F31-F30,"")</f>
        <v/>
      </c>
      <c r="H31" s="24" t="str">
        <f aca="false">IF(AND(G31&lt;&gt;"",G31&gt;0,C31&lt;&gt;""),C31/G31*100,"")</f>
        <v/>
      </c>
    </row>
    <row r="32" customFormat="false" ht="18.75" hidden="false" customHeight="true" outlineLevel="0" collapsed="false">
      <c r="A32" s="8"/>
      <c r="B32" s="9"/>
      <c r="C32" s="11"/>
      <c r="D32" s="11"/>
      <c r="E32" s="11" t="str">
        <f aca="false">IF(AND(C32&lt;&gt;"",D32&lt;&gt;""),C32*D32,"")</f>
        <v/>
      </c>
      <c r="F32" s="10"/>
      <c r="G32" s="10" t="str">
        <f aca="false">IF(AND(F32&lt;&gt;"",F31&lt;&gt;""),F32-F31,"")</f>
        <v/>
      </c>
      <c r="H32" s="23" t="str">
        <f aca="false">IF(AND(G32&lt;&gt;"",G32&gt;0,C32&lt;&gt;""),C32/G32*100,"")</f>
        <v/>
      </c>
    </row>
    <row r="33" customFormat="false" ht="18.75" hidden="false" customHeight="true" outlineLevel="0" collapsed="false">
      <c r="A33" s="14"/>
      <c r="B33" s="15"/>
      <c r="C33" s="17"/>
      <c r="D33" s="17"/>
      <c r="E33" s="17" t="str">
        <f aca="false">IF(AND(C33&lt;&gt;"",D33&lt;&gt;""),C33*D33,"")</f>
        <v/>
      </c>
      <c r="F33" s="16"/>
      <c r="G33" s="16" t="str">
        <f aca="false">IF(AND(F33&lt;&gt;"",F32&lt;&gt;""),F33-F32,"")</f>
        <v/>
      </c>
      <c r="H33" s="24" t="str">
        <f aca="false">IF(AND(G33&lt;&gt;"",G33&gt;0,C33&lt;&gt;""),C33/G33*100,"")</f>
        <v/>
      </c>
    </row>
    <row r="34" customFormat="false" ht="18.75" hidden="false" customHeight="true" outlineLevel="0" collapsed="false">
      <c r="A34" s="8"/>
      <c r="B34" s="9"/>
      <c r="C34" s="11"/>
      <c r="D34" s="11"/>
      <c r="E34" s="11" t="str">
        <f aca="false">IF(AND(C34&lt;&gt;"",D34&lt;&gt;""),C34*D34,"")</f>
        <v/>
      </c>
      <c r="F34" s="10"/>
      <c r="G34" s="10" t="str">
        <f aca="false">IF(AND(F34&lt;&gt;"",F33&lt;&gt;""),F34-F33,"")</f>
        <v/>
      </c>
      <c r="H34" s="23" t="str">
        <f aca="false">IF(AND(G34&lt;&gt;"",G34&gt;0,C34&lt;&gt;""),C34/G34*100,"")</f>
        <v/>
      </c>
    </row>
    <row r="35" customFormat="false" ht="18.75" hidden="false" customHeight="true" outlineLevel="0" collapsed="false">
      <c r="A35" s="14"/>
      <c r="B35" s="15"/>
      <c r="C35" s="17"/>
      <c r="D35" s="17"/>
      <c r="E35" s="17" t="str">
        <f aca="false">IF(AND(C35&lt;&gt;"",D35&lt;&gt;""),C35*D35,"")</f>
        <v/>
      </c>
      <c r="F35" s="16"/>
      <c r="G35" s="16" t="str">
        <f aca="false">IF(AND(F35&lt;&gt;"",F34&lt;&gt;""),F35-F34,"")</f>
        <v/>
      </c>
      <c r="H35" s="24" t="str">
        <f aca="false">IF(AND(G35&lt;&gt;"",G35&gt;0,C35&lt;&gt;""),C35/G35*100,"")</f>
        <v/>
      </c>
    </row>
    <row r="36" customFormat="false" ht="18.75" hidden="false" customHeight="true" outlineLevel="0" collapsed="false">
      <c r="A36" s="8"/>
      <c r="B36" s="9"/>
      <c r="C36" s="11"/>
      <c r="D36" s="11"/>
      <c r="E36" s="11" t="str">
        <f aca="false">IF(AND(C36&lt;&gt;"",D36&lt;&gt;""),C36*D36,"")</f>
        <v/>
      </c>
      <c r="F36" s="10"/>
      <c r="G36" s="10" t="str">
        <f aca="false">IF(AND(F36&lt;&gt;"",F35&lt;&gt;""),F36-F35,"")</f>
        <v/>
      </c>
      <c r="H36" s="23" t="str">
        <f aca="false">IF(AND(G36&lt;&gt;"",G36&gt;0,C36&lt;&gt;""),C36/G36*100,"")</f>
        <v/>
      </c>
    </row>
    <row r="37" customFormat="false" ht="18.75" hidden="false" customHeight="true" outlineLevel="0" collapsed="false">
      <c r="A37" s="14"/>
      <c r="B37" s="15"/>
      <c r="C37" s="17"/>
      <c r="D37" s="17"/>
      <c r="E37" s="17" t="str">
        <f aca="false">IF(AND(C37&lt;&gt;"",D37&lt;&gt;""),C37*D37,"")</f>
        <v/>
      </c>
      <c r="F37" s="16"/>
      <c r="G37" s="16" t="str">
        <f aca="false">IF(AND(F37&lt;&gt;"",F36&lt;&gt;""),F37-F36,"")</f>
        <v/>
      </c>
      <c r="H37" s="24" t="str">
        <f aca="false">IF(AND(G37&lt;&gt;"",G37&gt;0,C37&lt;&gt;""),C37/G37*100,"")</f>
        <v/>
      </c>
    </row>
    <row r="38" customFormat="false" ht="18.75" hidden="false" customHeight="true" outlineLevel="0" collapsed="false">
      <c r="A38" s="8"/>
      <c r="B38" s="9"/>
      <c r="C38" s="11"/>
      <c r="D38" s="11"/>
      <c r="E38" s="11" t="str">
        <f aca="false">IF(AND(C38&lt;&gt;"",D38&lt;&gt;""),C38*D38,"")</f>
        <v/>
      </c>
      <c r="F38" s="10"/>
      <c r="G38" s="10" t="str">
        <f aca="false">IF(AND(F38&lt;&gt;"",F37&lt;&gt;""),F38-F37,"")</f>
        <v/>
      </c>
      <c r="H38" s="23" t="str">
        <f aca="false">IF(AND(G38&lt;&gt;"",G38&gt;0,C38&lt;&gt;""),C38/G38*100,"")</f>
        <v/>
      </c>
    </row>
    <row r="39" customFormat="false" ht="18.75" hidden="false" customHeight="true" outlineLevel="0" collapsed="false">
      <c r="A39" s="14"/>
      <c r="B39" s="15"/>
      <c r="C39" s="17"/>
      <c r="D39" s="17"/>
      <c r="E39" s="17" t="str">
        <f aca="false">IF(AND(C39&lt;&gt;"",D39&lt;&gt;""),C39*D39,"")</f>
        <v/>
      </c>
      <c r="F39" s="16"/>
      <c r="G39" s="16" t="str">
        <f aca="false">IF(AND(F39&lt;&gt;"",F38&lt;&gt;""),F39-F38,"")</f>
        <v/>
      </c>
      <c r="H39" s="24" t="str">
        <f aca="false">IF(AND(G39&lt;&gt;"",G39&gt;0,C39&lt;&gt;""),C39/G39*100,"")</f>
        <v/>
      </c>
    </row>
    <row r="40" customFormat="false" ht="18.75" hidden="false" customHeight="true" outlineLevel="0" collapsed="false">
      <c r="A40" s="8"/>
      <c r="B40" s="9"/>
      <c r="C40" s="11"/>
      <c r="D40" s="11"/>
      <c r="E40" s="11" t="str">
        <f aca="false">IF(AND(C40&lt;&gt;"",D40&lt;&gt;""),C40*D40,"")</f>
        <v/>
      </c>
      <c r="F40" s="10"/>
      <c r="G40" s="10" t="str">
        <f aca="false">IF(AND(F40&lt;&gt;"",F39&lt;&gt;""),F40-F39,"")</f>
        <v/>
      </c>
      <c r="H40" s="23" t="str">
        <f aca="false">IF(AND(G40&lt;&gt;"",G40&gt;0,C40&lt;&gt;""),C40/G40*100,"")</f>
        <v/>
      </c>
    </row>
    <row r="41" customFormat="false" ht="18.75" hidden="false" customHeight="true" outlineLevel="0" collapsed="false">
      <c r="A41" s="14"/>
      <c r="B41" s="15"/>
      <c r="C41" s="17"/>
      <c r="D41" s="17"/>
      <c r="E41" s="17" t="str">
        <f aca="false">IF(AND(C41&lt;&gt;"",D41&lt;&gt;""),C41*D41,"")</f>
        <v/>
      </c>
      <c r="F41" s="16"/>
      <c r="G41" s="16" t="str">
        <f aca="false">IF(AND(F41&lt;&gt;"",F40&lt;&gt;""),F41-F40,"")</f>
        <v/>
      </c>
      <c r="H41" s="24" t="str">
        <f aca="false">IF(AND(G41&lt;&gt;"",G41&gt;0,C41&lt;&gt;""),C41/G41*100,"")</f>
        <v/>
      </c>
    </row>
    <row r="42" customFormat="false" ht="18.75" hidden="false" customHeight="true" outlineLevel="0" collapsed="false">
      <c r="A42" s="8"/>
      <c r="B42" s="9"/>
      <c r="C42" s="11"/>
      <c r="D42" s="11"/>
      <c r="E42" s="11" t="str">
        <f aca="false">IF(AND(C42&lt;&gt;"",D42&lt;&gt;""),C42*D42,"")</f>
        <v/>
      </c>
      <c r="F42" s="10"/>
      <c r="G42" s="10" t="str">
        <f aca="false">IF(AND(F42&lt;&gt;"",F41&lt;&gt;""),F42-F41,"")</f>
        <v/>
      </c>
      <c r="H42" s="23" t="str">
        <f aca="false">IF(AND(G42&lt;&gt;"",G42&gt;0,C42&lt;&gt;""),C42/G42*100,"")</f>
        <v/>
      </c>
    </row>
    <row r="43" customFormat="false" ht="18.75" hidden="false" customHeight="true" outlineLevel="0" collapsed="false">
      <c r="A43" s="14"/>
      <c r="B43" s="15"/>
      <c r="C43" s="17"/>
      <c r="D43" s="17"/>
      <c r="E43" s="17" t="str">
        <f aca="false">IF(AND(C43&lt;&gt;"",D43&lt;&gt;""),C43*D43,"")</f>
        <v/>
      </c>
      <c r="F43" s="16"/>
      <c r="G43" s="16" t="str">
        <f aca="false">IF(AND(F43&lt;&gt;"",F42&lt;&gt;""),F43-F42,"")</f>
        <v/>
      </c>
      <c r="H43" s="24" t="str">
        <f aca="false">IF(AND(G43&lt;&gt;"",G43&gt;0,C43&lt;&gt;""),C43/G43*100,"")</f>
        <v/>
      </c>
    </row>
    <row r="44" customFormat="false" ht="25.5" hidden="false" customHeight="true" outlineLevel="0" collapsed="false">
      <c r="A44" s="19"/>
      <c r="B44" s="20" t="s">
        <v>14</v>
      </c>
      <c r="C44" s="22" t="n">
        <f aca="false">SUM(C4:C43)</f>
        <v>0</v>
      </c>
      <c r="D44" s="19"/>
      <c r="E44" s="22" t="n">
        <f aca="false">SUM(E4:E43)</f>
        <v>0</v>
      </c>
      <c r="F44" s="19"/>
      <c r="G44" s="21" t="n">
        <f aca="false">SUM(G4:G43)</f>
        <v>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6"/>
  </cols>
  <sheetData>
    <row r="1" customFormat="false" ht="30" hidden="false" customHeight="true" outlineLevel="0" collapsed="false">
      <c r="A1" s="1" t="s">
        <v>24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25</v>
      </c>
      <c r="B2" s="2"/>
      <c r="C2" s="2"/>
      <c r="D2" s="2"/>
      <c r="E2" s="2"/>
      <c r="F2" s="2"/>
    </row>
    <row r="3" customFormat="false" ht="25.5" hidden="false" customHeight="true" outlineLevel="0" collapsed="false">
      <c r="A3" s="3" t="s">
        <v>2</v>
      </c>
      <c r="B3" s="4" t="s">
        <v>26</v>
      </c>
      <c r="C3" s="5" t="s">
        <v>21</v>
      </c>
      <c r="D3" s="5" t="s">
        <v>27</v>
      </c>
      <c r="E3" s="4" t="s">
        <v>28</v>
      </c>
      <c r="F3" s="5" t="s">
        <v>29</v>
      </c>
    </row>
    <row r="4" customFormat="false" ht="18.75" hidden="false" customHeight="true" outlineLevel="0" collapsed="false">
      <c r="A4" s="25" t="s">
        <v>30</v>
      </c>
      <c r="B4" s="26" t="s">
        <v>31</v>
      </c>
      <c r="C4" s="27" t="n">
        <v>120000</v>
      </c>
      <c r="D4" s="28"/>
      <c r="E4" s="26" t="s">
        <v>32</v>
      </c>
      <c r="F4" s="27" t="n">
        <v>135000</v>
      </c>
    </row>
    <row r="5" customFormat="false" ht="18.75" hidden="false" customHeight="true" outlineLevel="0" collapsed="false">
      <c r="A5" s="14"/>
      <c r="B5" s="15"/>
      <c r="C5" s="16"/>
      <c r="D5" s="17"/>
      <c r="E5" s="15"/>
      <c r="F5" s="16"/>
    </row>
    <row r="6" customFormat="false" ht="18.75" hidden="false" customHeight="true" outlineLevel="0" collapsed="false">
      <c r="A6" s="8"/>
      <c r="B6" s="9"/>
      <c r="C6" s="10"/>
      <c r="D6" s="11"/>
      <c r="E6" s="9"/>
      <c r="F6" s="10"/>
    </row>
    <row r="7" customFormat="false" ht="18.75" hidden="false" customHeight="true" outlineLevel="0" collapsed="false">
      <c r="A7" s="14"/>
      <c r="B7" s="15"/>
      <c r="C7" s="16"/>
      <c r="D7" s="17"/>
      <c r="E7" s="15"/>
      <c r="F7" s="16"/>
    </row>
    <row r="8" customFormat="false" ht="18.75" hidden="false" customHeight="true" outlineLevel="0" collapsed="false">
      <c r="A8" s="8"/>
      <c r="B8" s="9"/>
      <c r="C8" s="10"/>
      <c r="D8" s="11"/>
      <c r="E8" s="9"/>
      <c r="F8" s="10"/>
    </row>
    <row r="9" customFormat="false" ht="18.75" hidden="false" customHeight="true" outlineLevel="0" collapsed="false">
      <c r="A9" s="14"/>
      <c r="B9" s="15"/>
      <c r="C9" s="16"/>
      <c r="D9" s="17"/>
      <c r="E9" s="15"/>
      <c r="F9" s="16"/>
    </row>
    <row r="10" customFormat="false" ht="18.75" hidden="false" customHeight="true" outlineLevel="0" collapsed="false">
      <c r="A10" s="8"/>
      <c r="B10" s="9"/>
      <c r="C10" s="10"/>
      <c r="D10" s="11"/>
      <c r="E10" s="9"/>
      <c r="F10" s="10"/>
    </row>
    <row r="11" customFormat="false" ht="18.75" hidden="false" customHeight="true" outlineLevel="0" collapsed="false">
      <c r="A11" s="14"/>
      <c r="B11" s="15"/>
      <c r="C11" s="16"/>
      <c r="D11" s="17"/>
      <c r="E11" s="15"/>
      <c r="F11" s="16"/>
    </row>
    <row r="12" customFormat="false" ht="18.75" hidden="false" customHeight="true" outlineLevel="0" collapsed="false">
      <c r="A12" s="8"/>
      <c r="B12" s="9"/>
      <c r="C12" s="10"/>
      <c r="D12" s="11"/>
      <c r="E12" s="9"/>
      <c r="F12" s="10"/>
    </row>
    <row r="13" customFormat="false" ht="18.75" hidden="false" customHeight="true" outlineLevel="0" collapsed="false">
      <c r="A13" s="14"/>
      <c r="B13" s="15"/>
      <c r="C13" s="16"/>
      <c r="D13" s="17"/>
      <c r="E13" s="15"/>
      <c r="F13" s="16"/>
    </row>
    <row r="14" customFormat="false" ht="18.75" hidden="false" customHeight="true" outlineLevel="0" collapsed="false">
      <c r="A14" s="8"/>
      <c r="B14" s="9"/>
      <c r="C14" s="10"/>
      <c r="D14" s="11"/>
      <c r="E14" s="9"/>
      <c r="F14" s="10"/>
    </row>
    <row r="15" customFormat="false" ht="18.75" hidden="false" customHeight="true" outlineLevel="0" collapsed="false">
      <c r="A15" s="14"/>
      <c r="B15" s="15"/>
      <c r="C15" s="16"/>
      <c r="D15" s="17"/>
      <c r="E15" s="15"/>
      <c r="F15" s="16"/>
    </row>
    <row r="16" customFormat="false" ht="18.75" hidden="false" customHeight="true" outlineLevel="0" collapsed="false">
      <c r="A16" s="8"/>
      <c r="B16" s="9"/>
      <c r="C16" s="10"/>
      <c r="D16" s="11"/>
      <c r="E16" s="9"/>
      <c r="F16" s="10"/>
    </row>
    <row r="17" customFormat="false" ht="18.75" hidden="false" customHeight="true" outlineLevel="0" collapsed="false">
      <c r="A17" s="14"/>
      <c r="B17" s="15"/>
      <c r="C17" s="16"/>
      <c r="D17" s="17"/>
      <c r="E17" s="15"/>
      <c r="F17" s="16"/>
    </row>
    <row r="18" customFormat="false" ht="18.75" hidden="false" customHeight="true" outlineLevel="0" collapsed="false">
      <c r="A18" s="8"/>
      <c r="B18" s="9"/>
      <c r="C18" s="10"/>
      <c r="D18" s="11"/>
      <c r="E18" s="9"/>
      <c r="F18" s="10"/>
    </row>
    <row r="19" customFormat="false" ht="18.75" hidden="false" customHeight="true" outlineLevel="0" collapsed="false">
      <c r="A19" s="14"/>
      <c r="B19" s="15"/>
      <c r="C19" s="16"/>
      <c r="D19" s="17"/>
      <c r="E19" s="15"/>
      <c r="F19" s="16"/>
    </row>
    <row r="20" customFormat="false" ht="18.75" hidden="false" customHeight="true" outlineLevel="0" collapsed="false">
      <c r="A20" s="8"/>
      <c r="B20" s="9"/>
      <c r="C20" s="10"/>
      <c r="D20" s="11"/>
      <c r="E20" s="9"/>
      <c r="F20" s="10"/>
    </row>
    <row r="21" customFormat="false" ht="18.75" hidden="false" customHeight="true" outlineLevel="0" collapsed="false">
      <c r="A21" s="14"/>
      <c r="B21" s="15"/>
      <c r="C21" s="16"/>
      <c r="D21" s="17"/>
      <c r="E21" s="15"/>
      <c r="F21" s="16"/>
    </row>
    <row r="22" customFormat="false" ht="18.75" hidden="false" customHeight="true" outlineLevel="0" collapsed="false">
      <c r="A22" s="8"/>
      <c r="B22" s="9"/>
      <c r="C22" s="10"/>
      <c r="D22" s="11"/>
      <c r="E22" s="9"/>
      <c r="F22" s="10"/>
    </row>
    <row r="23" customFormat="false" ht="18.75" hidden="false" customHeight="true" outlineLevel="0" collapsed="false">
      <c r="A23" s="14"/>
      <c r="B23" s="15"/>
      <c r="C23" s="16"/>
      <c r="D23" s="17"/>
      <c r="E23" s="15"/>
      <c r="F23" s="16"/>
    </row>
    <row r="24" customFormat="false" ht="18.75" hidden="false" customHeight="true" outlineLevel="0" collapsed="false">
      <c r="A24" s="8"/>
      <c r="B24" s="9"/>
      <c r="C24" s="10"/>
      <c r="D24" s="11"/>
      <c r="E24" s="9"/>
      <c r="F24" s="10"/>
    </row>
    <row r="25" customFormat="false" ht="18.75" hidden="false" customHeight="true" outlineLevel="0" collapsed="false">
      <c r="A25" s="14"/>
      <c r="B25" s="15"/>
      <c r="C25" s="16"/>
      <c r="D25" s="17"/>
      <c r="E25" s="15"/>
      <c r="F25" s="16"/>
    </row>
    <row r="26" customFormat="false" ht="18.75" hidden="false" customHeight="true" outlineLevel="0" collapsed="false">
      <c r="A26" s="8"/>
      <c r="B26" s="9"/>
      <c r="C26" s="10"/>
      <c r="D26" s="11"/>
      <c r="E26" s="9"/>
      <c r="F26" s="10"/>
    </row>
    <row r="27" customFormat="false" ht="18.75" hidden="false" customHeight="true" outlineLevel="0" collapsed="false">
      <c r="A27" s="14"/>
      <c r="B27" s="15"/>
      <c r="C27" s="16"/>
      <c r="D27" s="17"/>
      <c r="E27" s="15"/>
      <c r="F27" s="16"/>
    </row>
    <row r="28" customFormat="false" ht="18.75" hidden="false" customHeight="true" outlineLevel="0" collapsed="false">
      <c r="A28" s="8"/>
      <c r="B28" s="9"/>
      <c r="C28" s="10"/>
      <c r="D28" s="11"/>
      <c r="E28" s="9"/>
      <c r="F28" s="10"/>
    </row>
    <row r="29" customFormat="false" ht="18.75" hidden="false" customHeight="true" outlineLevel="0" collapsed="false">
      <c r="A29" s="14"/>
      <c r="B29" s="15"/>
      <c r="C29" s="16"/>
      <c r="D29" s="17"/>
      <c r="E29" s="15"/>
      <c r="F29" s="16"/>
    </row>
    <row r="30" customFormat="false" ht="18.75" hidden="false" customHeight="true" outlineLevel="0" collapsed="false">
      <c r="A30" s="8"/>
      <c r="B30" s="9"/>
      <c r="C30" s="10"/>
      <c r="D30" s="11"/>
      <c r="E30" s="9"/>
      <c r="F30" s="10"/>
    </row>
    <row r="31" customFormat="false" ht="18.75" hidden="false" customHeight="true" outlineLevel="0" collapsed="false">
      <c r="A31" s="14"/>
      <c r="B31" s="15"/>
      <c r="C31" s="16"/>
      <c r="D31" s="17"/>
      <c r="E31" s="15"/>
      <c r="F31" s="16"/>
    </row>
    <row r="32" customFormat="false" ht="18.75" hidden="false" customHeight="true" outlineLevel="0" collapsed="false">
      <c r="A32" s="8"/>
      <c r="B32" s="9"/>
      <c r="C32" s="10"/>
      <c r="D32" s="11"/>
      <c r="E32" s="9"/>
      <c r="F32" s="10"/>
    </row>
    <row r="33" customFormat="false" ht="18.75" hidden="false" customHeight="true" outlineLevel="0" collapsed="false">
      <c r="A33" s="14"/>
      <c r="B33" s="15"/>
      <c r="C33" s="16"/>
      <c r="D33" s="17"/>
      <c r="E33" s="15"/>
      <c r="F33" s="16"/>
    </row>
    <row r="34" customFormat="false" ht="25.5" hidden="false" customHeight="true" outlineLevel="0" collapsed="false">
      <c r="A34" s="19"/>
      <c r="B34" s="19"/>
      <c r="C34" s="20" t="s">
        <v>33</v>
      </c>
      <c r="D34" s="22" t="n">
        <f aca="false">SUM(D4:D33)</f>
        <v>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3"/>
    <col collapsed="false" customWidth="true" hidden="false" outlineLevel="0" max="7" min="7" style="0" width="18"/>
  </cols>
  <sheetData>
    <row r="1" customFormat="false" ht="30" hidden="false" customHeight="true" outlineLevel="0" collapsed="false">
      <c r="A1" s="1" t="s">
        <v>34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35</v>
      </c>
      <c r="B2" s="2"/>
      <c r="C2" s="2"/>
      <c r="D2" s="2"/>
      <c r="E2" s="2"/>
      <c r="F2" s="2"/>
      <c r="G2" s="2"/>
    </row>
    <row r="3" customFormat="false" ht="25.5" hidden="false" customHeight="true" outlineLevel="0" collapsed="false">
      <c r="A3" s="3" t="s">
        <v>36</v>
      </c>
      <c r="B3" s="4" t="s">
        <v>37</v>
      </c>
      <c r="C3" s="4" t="s">
        <v>38</v>
      </c>
      <c r="D3" s="3" t="s">
        <v>39</v>
      </c>
      <c r="E3" s="5" t="s">
        <v>40</v>
      </c>
      <c r="F3" s="5" t="s">
        <v>41</v>
      </c>
      <c r="G3" s="5" t="s">
        <v>42</v>
      </c>
    </row>
    <row r="4" customFormat="false" ht="18.75" hidden="false" customHeight="true" outlineLevel="0" collapsed="false">
      <c r="A4" s="25" t="n">
        <v>1</v>
      </c>
      <c r="B4" s="26" t="s">
        <v>43</v>
      </c>
      <c r="C4" s="26" t="s">
        <v>44</v>
      </c>
      <c r="D4" s="25" t="s">
        <v>45</v>
      </c>
      <c r="E4" s="29"/>
      <c r="F4" s="28"/>
      <c r="G4" s="28"/>
    </row>
    <row r="5" customFormat="false" ht="18.75" hidden="false" customHeight="true" outlineLevel="0" collapsed="false">
      <c r="A5" s="14" t="n">
        <v>2</v>
      </c>
      <c r="B5" s="15"/>
      <c r="C5" s="15"/>
      <c r="D5" s="14"/>
      <c r="E5" s="24"/>
      <c r="F5" s="17"/>
      <c r="G5" s="17" t="str">
        <f aca="false">IF(AND(E5&lt;&gt;"",F5&lt;&gt;""),E5*F5,"")</f>
        <v/>
      </c>
    </row>
    <row r="6" customFormat="false" ht="18.75" hidden="false" customHeight="true" outlineLevel="0" collapsed="false">
      <c r="A6" s="8" t="n">
        <v>3</v>
      </c>
      <c r="B6" s="9"/>
      <c r="C6" s="9"/>
      <c r="D6" s="8"/>
      <c r="E6" s="23"/>
      <c r="F6" s="11"/>
      <c r="G6" s="11" t="str">
        <f aca="false">IF(AND(E6&lt;&gt;"",F6&lt;&gt;""),E6*F6,"")</f>
        <v/>
      </c>
    </row>
    <row r="7" customFormat="false" ht="18.75" hidden="false" customHeight="true" outlineLevel="0" collapsed="false">
      <c r="A7" s="14" t="n">
        <v>4</v>
      </c>
      <c r="B7" s="15"/>
      <c r="C7" s="15"/>
      <c r="D7" s="14"/>
      <c r="E7" s="24"/>
      <c r="F7" s="17"/>
      <c r="G7" s="17" t="str">
        <f aca="false">IF(AND(E7&lt;&gt;"",F7&lt;&gt;""),E7*F7,"")</f>
        <v/>
      </c>
    </row>
    <row r="8" customFormat="false" ht="18.75" hidden="false" customHeight="true" outlineLevel="0" collapsed="false">
      <c r="A8" s="8" t="n">
        <v>5</v>
      </c>
      <c r="B8" s="9"/>
      <c r="C8" s="9"/>
      <c r="D8" s="8"/>
      <c r="E8" s="23"/>
      <c r="F8" s="11"/>
      <c r="G8" s="11" t="str">
        <f aca="false">IF(AND(E8&lt;&gt;"",F8&lt;&gt;""),E8*F8,"")</f>
        <v/>
      </c>
    </row>
    <row r="9" customFormat="false" ht="18.75" hidden="false" customHeight="true" outlineLevel="0" collapsed="false">
      <c r="A9" s="14" t="n">
        <v>6</v>
      </c>
      <c r="B9" s="15"/>
      <c r="C9" s="15"/>
      <c r="D9" s="14"/>
      <c r="E9" s="24"/>
      <c r="F9" s="17"/>
      <c r="G9" s="17" t="str">
        <f aca="false">IF(AND(E9&lt;&gt;"",F9&lt;&gt;""),E9*F9,"")</f>
        <v/>
      </c>
    </row>
    <row r="10" customFormat="false" ht="18.75" hidden="false" customHeight="true" outlineLevel="0" collapsed="false">
      <c r="A10" s="8" t="n">
        <v>7</v>
      </c>
      <c r="B10" s="9"/>
      <c r="C10" s="9"/>
      <c r="D10" s="8"/>
      <c r="E10" s="23"/>
      <c r="F10" s="11"/>
      <c r="G10" s="11" t="str">
        <f aca="false">IF(AND(E10&lt;&gt;"",F10&lt;&gt;""),E10*F10,"")</f>
        <v/>
      </c>
    </row>
    <row r="11" customFormat="false" ht="18.75" hidden="false" customHeight="true" outlineLevel="0" collapsed="false">
      <c r="A11" s="14" t="n">
        <v>8</v>
      </c>
      <c r="B11" s="15"/>
      <c r="C11" s="15"/>
      <c r="D11" s="14"/>
      <c r="E11" s="24"/>
      <c r="F11" s="17"/>
      <c r="G11" s="17" t="str">
        <f aca="false">IF(AND(E11&lt;&gt;"",F11&lt;&gt;""),E11*F11,"")</f>
        <v/>
      </c>
    </row>
    <row r="12" customFormat="false" ht="18.75" hidden="false" customHeight="true" outlineLevel="0" collapsed="false">
      <c r="A12" s="8" t="n">
        <v>9</v>
      </c>
      <c r="B12" s="9"/>
      <c r="C12" s="9"/>
      <c r="D12" s="8"/>
      <c r="E12" s="23"/>
      <c r="F12" s="11"/>
      <c r="G12" s="11" t="str">
        <f aca="false">IF(AND(E12&lt;&gt;"",F12&lt;&gt;""),E12*F12,"")</f>
        <v/>
      </c>
    </row>
    <row r="13" customFormat="false" ht="18.75" hidden="false" customHeight="true" outlineLevel="0" collapsed="false">
      <c r="A13" s="14" t="n">
        <v>10</v>
      </c>
      <c r="B13" s="15"/>
      <c r="C13" s="15"/>
      <c r="D13" s="14"/>
      <c r="E13" s="24"/>
      <c r="F13" s="17"/>
      <c r="G13" s="17" t="str">
        <f aca="false">IF(AND(E13&lt;&gt;"",F13&lt;&gt;""),E13*F13,"")</f>
        <v/>
      </c>
    </row>
    <row r="14" customFormat="false" ht="18.75" hidden="false" customHeight="true" outlineLevel="0" collapsed="false">
      <c r="A14" s="8" t="n">
        <v>11</v>
      </c>
      <c r="B14" s="9"/>
      <c r="C14" s="9"/>
      <c r="D14" s="8"/>
      <c r="E14" s="23"/>
      <c r="F14" s="11"/>
      <c r="G14" s="11" t="str">
        <f aca="false">IF(AND(E14&lt;&gt;"",F14&lt;&gt;""),E14*F14,"")</f>
        <v/>
      </c>
    </row>
    <row r="15" customFormat="false" ht="18.75" hidden="false" customHeight="true" outlineLevel="0" collapsed="false">
      <c r="A15" s="14" t="n">
        <v>12</v>
      </c>
      <c r="B15" s="15"/>
      <c r="C15" s="15"/>
      <c r="D15" s="14"/>
      <c r="E15" s="24"/>
      <c r="F15" s="17"/>
      <c r="G15" s="17" t="str">
        <f aca="false">IF(AND(E15&lt;&gt;"",F15&lt;&gt;""),E15*F15,"")</f>
        <v/>
      </c>
    </row>
    <row r="16" customFormat="false" ht="18.75" hidden="false" customHeight="true" outlineLevel="0" collapsed="false">
      <c r="A16" s="8" t="n">
        <v>13</v>
      </c>
      <c r="B16" s="9"/>
      <c r="C16" s="9"/>
      <c r="D16" s="8"/>
      <c r="E16" s="23"/>
      <c r="F16" s="11"/>
      <c r="G16" s="11" t="str">
        <f aca="false">IF(AND(E16&lt;&gt;"",F16&lt;&gt;""),E16*F16,"")</f>
        <v/>
      </c>
    </row>
    <row r="17" customFormat="false" ht="18.75" hidden="false" customHeight="true" outlineLevel="0" collapsed="false">
      <c r="A17" s="14" t="n">
        <v>14</v>
      </c>
      <c r="B17" s="15"/>
      <c r="C17" s="15"/>
      <c r="D17" s="14"/>
      <c r="E17" s="24"/>
      <c r="F17" s="17"/>
      <c r="G17" s="17" t="str">
        <f aca="false">IF(AND(E17&lt;&gt;"",F17&lt;&gt;""),E17*F17,"")</f>
        <v/>
      </c>
    </row>
    <row r="18" customFormat="false" ht="18.75" hidden="false" customHeight="true" outlineLevel="0" collapsed="false">
      <c r="A18" s="8" t="n">
        <v>15</v>
      </c>
      <c r="B18" s="9"/>
      <c r="C18" s="9"/>
      <c r="D18" s="8"/>
      <c r="E18" s="23"/>
      <c r="F18" s="11"/>
      <c r="G18" s="11" t="str">
        <f aca="false">IF(AND(E18&lt;&gt;"",F18&lt;&gt;""),E18*F18,"")</f>
        <v/>
      </c>
    </row>
    <row r="19" customFormat="false" ht="18.75" hidden="false" customHeight="true" outlineLevel="0" collapsed="false">
      <c r="A19" s="14" t="n">
        <v>16</v>
      </c>
      <c r="B19" s="15"/>
      <c r="C19" s="15"/>
      <c r="D19" s="14"/>
      <c r="E19" s="24"/>
      <c r="F19" s="17"/>
      <c r="G19" s="17" t="str">
        <f aca="false">IF(AND(E19&lt;&gt;"",F19&lt;&gt;""),E19*F19,"")</f>
        <v/>
      </c>
    </row>
    <row r="20" customFormat="false" ht="18.75" hidden="false" customHeight="true" outlineLevel="0" collapsed="false">
      <c r="A20" s="8" t="n">
        <v>17</v>
      </c>
      <c r="B20" s="9"/>
      <c r="C20" s="9"/>
      <c r="D20" s="8"/>
      <c r="E20" s="23"/>
      <c r="F20" s="11"/>
      <c r="G20" s="11" t="str">
        <f aca="false">IF(AND(E20&lt;&gt;"",F20&lt;&gt;""),E20*F20,"")</f>
        <v/>
      </c>
    </row>
    <row r="21" customFormat="false" ht="18.75" hidden="false" customHeight="true" outlineLevel="0" collapsed="false">
      <c r="A21" s="14" t="n">
        <v>18</v>
      </c>
      <c r="B21" s="15"/>
      <c r="C21" s="15"/>
      <c r="D21" s="14"/>
      <c r="E21" s="24"/>
      <c r="F21" s="17"/>
      <c r="G21" s="17" t="str">
        <f aca="false">IF(AND(E21&lt;&gt;"",F21&lt;&gt;""),E21*F21,"")</f>
        <v/>
      </c>
    </row>
    <row r="22" customFormat="false" ht="18.75" hidden="false" customHeight="true" outlineLevel="0" collapsed="false">
      <c r="A22" s="8" t="n">
        <v>19</v>
      </c>
      <c r="B22" s="9"/>
      <c r="C22" s="9"/>
      <c r="D22" s="8"/>
      <c r="E22" s="23"/>
      <c r="F22" s="11"/>
      <c r="G22" s="11" t="str">
        <f aca="false">IF(AND(E22&lt;&gt;"",F22&lt;&gt;""),E22*F22,"")</f>
        <v/>
      </c>
    </row>
    <row r="23" customFormat="false" ht="18.75" hidden="false" customHeight="true" outlineLevel="0" collapsed="false">
      <c r="A23" s="14" t="n">
        <v>20</v>
      </c>
      <c r="B23" s="15"/>
      <c r="C23" s="15"/>
      <c r="D23" s="14"/>
      <c r="E23" s="24"/>
      <c r="F23" s="17"/>
      <c r="G23" s="17" t="str">
        <f aca="false">IF(AND(E23&lt;&gt;"",F23&lt;&gt;""),E23*F23,"")</f>
        <v/>
      </c>
    </row>
    <row r="24" customFormat="false" ht="18.75" hidden="false" customHeight="true" outlineLevel="0" collapsed="false">
      <c r="A24" s="8" t="n">
        <v>21</v>
      </c>
      <c r="B24" s="9"/>
      <c r="C24" s="9"/>
      <c r="D24" s="8"/>
      <c r="E24" s="23"/>
      <c r="F24" s="11"/>
      <c r="G24" s="11" t="str">
        <f aca="false">IF(AND(E24&lt;&gt;"",F24&lt;&gt;""),E24*F24,"")</f>
        <v/>
      </c>
    </row>
    <row r="25" customFormat="false" ht="18.75" hidden="false" customHeight="true" outlineLevel="0" collapsed="false">
      <c r="A25" s="14" t="n">
        <v>22</v>
      </c>
      <c r="B25" s="15"/>
      <c r="C25" s="15"/>
      <c r="D25" s="14"/>
      <c r="E25" s="24"/>
      <c r="F25" s="17"/>
      <c r="G25" s="17" t="str">
        <f aca="false">IF(AND(E25&lt;&gt;"",F25&lt;&gt;""),E25*F25,"")</f>
        <v/>
      </c>
    </row>
    <row r="26" customFormat="false" ht="18.75" hidden="false" customHeight="true" outlineLevel="0" collapsed="false">
      <c r="A26" s="8" t="n">
        <v>23</v>
      </c>
      <c r="B26" s="9"/>
      <c r="C26" s="9"/>
      <c r="D26" s="8"/>
      <c r="E26" s="23"/>
      <c r="F26" s="11"/>
      <c r="G26" s="11" t="str">
        <f aca="false">IF(AND(E26&lt;&gt;"",F26&lt;&gt;""),E26*F26,"")</f>
        <v/>
      </c>
    </row>
    <row r="27" customFormat="false" ht="18.75" hidden="false" customHeight="true" outlineLevel="0" collapsed="false">
      <c r="A27" s="14" t="n">
        <v>24</v>
      </c>
      <c r="B27" s="15"/>
      <c r="C27" s="15"/>
      <c r="D27" s="14"/>
      <c r="E27" s="24"/>
      <c r="F27" s="17"/>
      <c r="G27" s="17" t="str">
        <f aca="false">IF(AND(E27&lt;&gt;"",F27&lt;&gt;""),E27*F27,"")</f>
        <v/>
      </c>
    </row>
    <row r="28" customFormat="false" ht="18.75" hidden="false" customHeight="true" outlineLevel="0" collapsed="false">
      <c r="A28" s="8" t="n">
        <v>25</v>
      </c>
      <c r="B28" s="9"/>
      <c r="C28" s="9"/>
      <c r="D28" s="8"/>
      <c r="E28" s="23"/>
      <c r="F28" s="11"/>
      <c r="G28" s="11" t="str">
        <f aca="false">IF(AND(E28&lt;&gt;"",F28&lt;&gt;""),E28*F28,"")</f>
        <v/>
      </c>
    </row>
    <row r="29" customFormat="false" ht="25.5" hidden="false" customHeight="true" outlineLevel="0" collapsed="false">
      <c r="A29" s="19"/>
      <c r="B29" s="19"/>
      <c r="C29" s="19"/>
      <c r="D29" s="19"/>
      <c r="E29" s="20" t="s">
        <v>46</v>
      </c>
      <c r="F29" s="19"/>
      <c r="G29" s="22" t="n">
        <f aca="false">SUM(G4:G28)</f>
        <v>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4"/>
  </cols>
  <sheetData>
    <row r="1" customFormat="false" ht="30" hidden="false" customHeight="true" outlineLevel="0" collapsed="false">
      <c r="A1" s="1" t="s">
        <v>47</v>
      </c>
      <c r="B1" s="1"/>
      <c r="C1" s="1"/>
      <c r="D1" s="1"/>
    </row>
    <row r="3" customFormat="false" ht="21.75" hidden="false" customHeight="true" outlineLevel="0" collapsed="false">
      <c r="A3" s="30" t="s">
        <v>48</v>
      </c>
      <c r="B3" s="30"/>
      <c r="C3" s="30"/>
      <c r="D3" s="30"/>
    </row>
    <row r="4" customFormat="false" ht="18.75" hidden="false" customHeight="true" outlineLevel="0" collapsed="false">
      <c r="B4" s="31" t="s">
        <v>49</v>
      </c>
      <c r="C4" s="32" t="n">
        <f aca="false">'Trip Log'!H44</f>
        <v>0</v>
      </c>
    </row>
    <row r="5" customFormat="false" ht="18.75" hidden="false" customHeight="true" outlineLevel="0" collapsed="false">
      <c r="B5" s="31" t="s">
        <v>50</v>
      </c>
      <c r="C5" s="32" t="n">
        <f aca="false">'Fuel Log'!E44</f>
        <v>0</v>
      </c>
    </row>
    <row r="6" customFormat="false" ht="18.75" hidden="false" customHeight="true" outlineLevel="0" collapsed="false">
      <c r="B6" s="31" t="s">
        <v>51</v>
      </c>
      <c r="C6" s="32" t="n">
        <f aca="false">Maintenance!D34</f>
        <v>0</v>
      </c>
    </row>
    <row r="7" customFormat="false" ht="18.75" hidden="false" customHeight="true" outlineLevel="0" collapsed="false">
      <c r="B7" s="31" t="s">
        <v>52</v>
      </c>
      <c r="C7" s="32" t="n">
        <f aca="false">'Driver Schedule'!G29</f>
        <v>0</v>
      </c>
    </row>
    <row r="8" customFormat="false" ht="25.5" hidden="false" customHeight="true" outlineLevel="0" collapsed="false">
      <c r="B8" s="33" t="s">
        <v>53</v>
      </c>
      <c r="C8" s="34" t="n">
        <f aca="false">C4-C5-C6-C7</f>
        <v>0</v>
      </c>
    </row>
    <row r="10" customFormat="false" ht="18.75" hidden="false" customHeight="true" outlineLevel="0" collapsed="false">
      <c r="B10" s="31" t="s">
        <v>54</v>
      </c>
      <c r="C10" s="35" t="n">
        <f aca="false">'Trip Log'!G44</f>
        <v>0</v>
      </c>
    </row>
    <row r="11" customFormat="false" ht="18.75" hidden="false" customHeight="true" outlineLevel="0" collapsed="false">
      <c r="B11" s="31" t="s">
        <v>55</v>
      </c>
      <c r="C11" s="32" t="str">
        <f aca="false">IF(C10=0,"",C8/C10)</f>
        <v/>
      </c>
    </row>
    <row r="13" customFormat="false" ht="27.75" hidden="false" customHeight="true" outlineLevel="0" collapsed="false">
      <c r="A13" s="2" t="s">
        <v>56</v>
      </c>
      <c r="B13" s="2"/>
      <c r="C13" s="2"/>
      <c r="D13" s="2"/>
    </row>
  </sheetData>
  <mergeCells count="3">
    <mergeCell ref="A1:D1"/>
    <mergeCell ref="A3:D3"/>
    <mergeCell ref="A13:D13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2026-09-14T19:03:07Z</dcterms:created>
  <dc:creator>openpyxl</dc:creator>
  <dc:description/>
  <dc:language>en-US</dc:language>
  <cp:lastModifiedBy/>
  <dcterms:modified xsi:type="dcterms:W3CDTF">2026-09-14T19:03:07Z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