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Sales" sheetId="1" state="visible" r:id="rId3"/>
    <sheet name="Stock &amp; Reorder" sheetId="2" state="visible" r:id="rId4"/>
    <sheet name="Suppliers" sheetId="3" state="visible" r:id="rId5"/>
    <sheet name="Monthl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<sst xmlns="http://schemas.openxmlformats.org/spreadsheetml/2006/main" count="44" uniqueCount="43">
  <si>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DAILY SALES &amp; PROFIT TRACKER</t>
  </si>
  <si>
    <t xml:space="preserve">Enter your takings and what you spent each day. Gross Profit and Cash Difference calculate automatically. Cash Difference should be zero - if not, money is missing.</t>
  </si>
  <si>
    <t xml:space="preserve">Date</t>
  </si>
  <si>
    <t xml:space="preserve">Cash Sales (R)</t>
  </si>
  <si>
    <t xml:space="preserve">Card Sales (R)</t>
  </si>
  <si>
    <t xml:space="preserve">Total Sales (R)</t>
  </si>
  <si>
    <t xml:space="preserve">Stock Bought (R)</t>
  </si>
  <si>
    <t xml:space="preserve">Gross Profit (R)</t>
  </si>
  <si>
    <t xml:space="preserve">Notes</t>
  </si>
  <si>
    <t xml:space="preserve">MONTH TOTALS</t>
  </si>
  <si>
    <t xml:space="preserve">STOCK LEVELS &amp; REORDER ALERTS</t>
  </si>
  <si>
    <t xml:space="preserve">Set a Reorder Level for each item. The Status column tells you when to buy more - watch for REORDER NOW.</t>
  </si>
  <si>
    <t xml:space="preserve">No.</t>
  </si>
  <si>
    <t xml:space="preserve">Product</t>
  </si>
  <si>
    <t xml:space="preserve">In Stock</t>
  </si>
  <si>
    <t xml:space="preserve">Reorder Level</t>
  </si>
  <si>
    <t xml:space="preserve">Cost (R)</t>
  </si>
  <si>
    <t xml:space="preserve">Sell (R)</t>
  </si>
  <si>
    <t xml:space="preserve">Profit per Item</t>
  </si>
  <si>
    <t xml:space="preserve">Status</t>
  </si>
  <si>
    <t xml:space="preserve">Example: 2L Coke</t>
  </si>
  <si>
    <t xml:space="preserve">STOCK VALUE AT COST</t>
  </si>
  <si>
    <t xml:space="preserve">SUPPLIER CONTACT LIST</t>
  </si>
  <si>
    <t xml:space="preserve">Keep every supplier here so you can reorder fast. Note their delivery days so you plan your buying.</t>
  </si>
  <si>
    <t xml:space="preserve">Supplier Name</t>
  </si>
  <si>
    <t xml:space="preserve">Contact Person</t>
  </si>
  <si>
    <t xml:space="preserve">Phone</t>
  </si>
  <si>
    <t xml:space="preserve">What They Supply</t>
  </si>
  <si>
    <t xml:space="preserve">Delivery Days</t>
  </si>
  <si>
    <t xml:space="preserve">Example: Cash &amp; Carry CT</t>
  </si>
  <si>
    <t xml:space="preserve">Mr Patel</t>
  </si>
  <si>
    <t xml:space="preserve">021 123 4567</t>
  </si>
  <si>
    <t xml:space="preserve">Cold drinks, chips, bread</t>
  </si>
  <si>
    <t xml:space="preserve">Mon &amp; Thu</t>
  </si>
  <si>
    <t xml:space="preserve">MONTHLY BUSINESS SUMMARY</t>
  </si>
  <si>
    <t xml:space="preserve">  THIS MONTH</t>
  </si>
  <si>
    <t xml:space="preserve">Total Sales</t>
  </si>
  <si>
    <t xml:space="preserve">Total Spent on Stock</t>
  </si>
  <si>
    <t xml:space="preserve">GROSS PROFIT</t>
  </si>
  <si>
    <t xml:space="preserve">Items Needing Reorder</t>
  </si>
  <si>
    <t xml:space="preserve">Items Out of Stock</t>
  </si>
  <si>
    <t xml:space="preserve">Current Stock Value (at cost)</t>
  </si>
  <si>
    <t xml:space="preserve">Gross profit is sales minus stock bought. Remember to also subtract rent, electricity and transport to know your real profit.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</si>
</sst>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10"/>
      <color rgb="FF0F1E33"/>
      <name val="Arial"/>
      <family val="0"/>
      <charset val="1"/>
    </font>
    <font>
      <b val="true"/>
      <sz val="11"/>
      <color rgb="FFC8A4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b val="true"/>
      <sz val="10"/>
      <color rgb="FFC8A44D"/>
      <name val="Arial"/>
      <family val="0"/>
      <charset val="1"/>
    </font>
    <font>
      <b val="true"/>
      <sz val="10"/>
      <color rgb="FF0F1E33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C8A44D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customFormat="false" ht="18.75" hidden="false" customHeight="true" outlineLevel="0" collapsed="false">
      <c r="A4" s="6"/>
      <c r="B4" s="7"/>
      <c r="C4" s="7"/>
      <c r="D4" s="7" t="str">
        <f aca="false">IF(AND(B4="",C4=""),"",SUM(B4:C4))</f>
        <v/>
      </c>
      <c r="E4" s="7"/>
      <c r="F4" s="7" t="str">
        <f aca="false">IF(D4="","",D4-IF(E4="",0,E4))</f>
        <v/>
      </c>
      <c r="G4" s="8"/>
    </row>
    <row r="5" customFormat="false" ht="18.75" hidden="false" customHeight="true" outlineLevel="0" collapsed="false">
      <c r="A5" s="9"/>
      <c r="B5" s="10"/>
      <c r="C5" s="10"/>
      <c r="D5" s="10" t="str">
        <f aca="false">IF(AND(B5="",C5=""),"",SUM(B5:C5))</f>
        <v/>
      </c>
      <c r="E5" s="10"/>
      <c r="F5" s="10" t="str">
        <f aca="false">IF(D5="","",D5-IF(E5="",0,E5))</f>
        <v/>
      </c>
      <c r="G5" s="11"/>
    </row>
    <row r="6" customFormat="false" ht="18.75" hidden="false" customHeight="true" outlineLevel="0" collapsed="false">
      <c r="A6" s="6"/>
      <c r="B6" s="7"/>
      <c r="C6" s="7"/>
      <c r="D6" s="7" t="str">
        <f aca="false">IF(AND(B6="",C6=""),"",SUM(B6:C6))</f>
        <v/>
      </c>
      <c r="E6" s="7"/>
      <c r="F6" s="7" t="str">
        <f aca="false">IF(D6="","",D6-IF(E6="",0,E6))</f>
        <v/>
      </c>
      <c r="G6" s="8"/>
    </row>
    <row r="7" customFormat="false" ht="18.75" hidden="false" customHeight="true" outlineLevel="0" collapsed="false">
      <c r="A7" s="9"/>
      <c r="B7" s="10"/>
      <c r="C7" s="10"/>
      <c r="D7" s="10" t="str">
        <f aca="false">IF(AND(B7="",C7=""),"",SUM(B7:C7))</f>
        <v/>
      </c>
      <c r="E7" s="10"/>
      <c r="F7" s="10" t="str">
        <f aca="false">IF(D7="","",D7-IF(E7="",0,E7))</f>
        <v/>
      </c>
      <c r="G7" s="11"/>
    </row>
    <row r="8" customFormat="false" ht="18.75" hidden="false" customHeight="true" outlineLevel="0" collapsed="false">
      <c r="A8" s="6"/>
      <c r="B8" s="7"/>
      <c r="C8" s="7"/>
      <c r="D8" s="7" t="str">
        <f aca="false">IF(AND(B8="",C8=""),"",SUM(B8:C8))</f>
        <v/>
      </c>
      <c r="E8" s="7"/>
      <c r="F8" s="7" t="str">
        <f aca="false">IF(D8="","",D8-IF(E8="",0,E8))</f>
        <v/>
      </c>
      <c r="G8" s="8"/>
    </row>
    <row r="9" customFormat="false" ht="18.75" hidden="false" customHeight="true" outlineLevel="0" collapsed="false">
      <c r="A9" s="9"/>
      <c r="B9" s="10"/>
      <c r="C9" s="10"/>
      <c r="D9" s="10" t="str">
        <f aca="false">IF(AND(B9="",C9=""),"",SUM(B9:C9))</f>
        <v/>
      </c>
      <c r="E9" s="10"/>
      <c r="F9" s="10" t="str">
        <f aca="false">IF(D9="","",D9-IF(E9="",0,E9))</f>
        <v/>
      </c>
      <c r="G9" s="11"/>
    </row>
    <row r="10" customFormat="false" ht="18.75" hidden="false" customHeight="true" outlineLevel="0" collapsed="false">
      <c r="A10" s="6"/>
      <c r="B10" s="7"/>
      <c r="C10" s="7"/>
      <c r="D10" s="7" t="str">
        <f aca="false">IF(AND(B10="",C10=""),"",SUM(B10:C10))</f>
        <v/>
      </c>
      <c r="E10" s="7"/>
      <c r="F10" s="7" t="str">
        <f aca="false">IF(D10="","",D10-IF(E10="",0,E10))</f>
        <v/>
      </c>
      <c r="G10" s="8"/>
    </row>
    <row r="11" customFormat="false" ht="18.75" hidden="false" customHeight="true" outlineLevel="0" collapsed="false">
      <c r="A11" s="9"/>
      <c r="B11" s="10"/>
      <c r="C11" s="10"/>
      <c r="D11" s="10" t="str">
        <f aca="false">IF(AND(B11="",C11=""),"",SUM(B11:C11))</f>
        <v/>
      </c>
      <c r="E11" s="10"/>
      <c r="F11" s="10" t="str">
        <f aca="false">IF(D11="","",D11-IF(E11="",0,E11))</f>
        <v/>
      </c>
      <c r="G11" s="11"/>
    </row>
    <row r="12" customFormat="false" ht="18.75" hidden="false" customHeight="true" outlineLevel="0" collapsed="false">
      <c r="A12" s="6"/>
      <c r="B12" s="7"/>
      <c r="C12" s="7"/>
      <c r="D12" s="7" t="str">
        <f aca="false">IF(AND(B12="",C12=""),"",SUM(B12:C12))</f>
        <v/>
      </c>
      <c r="E12" s="7"/>
      <c r="F12" s="7" t="str">
        <f aca="false">IF(D12="","",D12-IF(E12="",0,E12))</f>
        <v/>
      </c>
      <c r="G12" s="8"/>
    </row>
    <row r="13" customFormat="false" ht="18.75" hidden="false" customHeight="true" outlineLevel="0" collapsed="false">
      <c r="A13" s="9"/>
      <c r="B13" s="10"/>
      <c r="C13" s="10"/>
      <c r="D13" s="10" t="str">
        <f aca="false">IF(AND(B13="",C13=""),"",SUM(B13:C13))</f>
        <v/>
      </c>
      <c r="E13" s="10"/>
      <c r="F13" s="10" t="str">
        <f aca="false">IF(D13="","",D13-IF(E13="",0,E13))</f>
        <v/>
      </c>
      <c r="G13" s="11"/>
    </row>
    <row r="14" customFormat="false" ht="18.75" hidden="false" customHeight="true" outlineLevel="0" collapsed="false">
      <c r="A14" s="6"/>
      <c r="B14" s="7"/>
      <c r="C14" s="7"/>
      <c r="D14" s="7" t="str">
        <f aca="false">IF(AND(B14="",C14=""),"",SUM(B14:C14))</f>
        <v/>
      </c>
      <c r="E14" s="7"/>
      <c r="F14" s="7" t="str">
        <f aca="false">IF(D14="","",D14-IF(E14="",0,E14))</f>
        <v/>
      </c>
      <c r="G14" s="8"/>
    </row>
    <row r="15" customFormat="false" ht="18.75" hidden="false" customHeight="true" outlineLevel="0" collapsed="false">
      <c r="A15" s="9"/>
      <c r="B15" s="10"/>
      <c r="C15" s="10"/>
      <c r="D15" s="10" t="str">
        <f aca="false">IF(AND(B15="",C15=""),"",SUM(B15:C15))</f>
        <v/>
      </c>
      <c r="E15" s="10"/>
      <c r="F15" s="10" t="str">
        <f aca="false">IF(D15="","",D15-IF(E15="",0,E15))</f>
        <v/>
      </c>
      <c r="G15" s="11"/>
    </row>
    <row r="16" customFormat="false" ht="18.75" hidden="false" customHeight="true" outlineLevel="0" collapsed="false">
      <c r="A16" s="6"/>
      <c r="B16" s="7"/>
      <c r="C16" s="7"/>
      <c r="D16" s="7" t="str">
        <f aca="false">IF(AND(B16="",C16=""),"",SUM(B16:C16))</f>
        <v/>
      </c>
      <c r="E16" s="7"/>
      <c r="F16" s="7" t="str">
        <f aca="false">IF(D16="","",D16-IF(E16="",0,E16))</f>
        <v/>
      </c>
      <c r="G16" s="8"/>
    </row>
    <row r="17" customFormat="false" ht="18.75" hidden="false" customHeight="true" outlineLevel="0" collapsed="false">
      <c r="A17" s="9"/>
      <c r="B17" s="10"/>
      <c r="C17" s="10"/>
      <c r="D17" s="10" t="str">
        <f aca="false">IF(AND(B17="",C17=""),"",SUM(B17:C17))</f>
        <v/>
      </c>
      <c r="E17" s="10"/>
      <c r="F17" s="10" t="str">
        <f aca="false">IF(D17="","",D17-IF(E17="",0,E17))</f>
        <v/>
      </c>
      <c r="G17" s="11"/>
    </row>
    <row r="18" customFormat="false" ht="18.75" hidden="false" customHeight="true" outlineLevel="0" collapsed="false">
      <c r="A18" s="6"/>
      <c r="B18" s="7"/>
      <c r="C18" s="7"/>
      <c r="D18" s="7" t="str">
        <f aca="false">IF(AND(B18="",C18=""),"",SUM(B18:C18))</f>
        <v/>
      </c>
      <c r="E18" s="7"/>
      <c r="F18" s="7" t="str">
        <f aca="false">IF(D18="","",D18-IF(E18="",0,E18))</f>
        <v/>
      </c>
      <c r="G18" s="8"/>
    </row>
    <row r="19" customFormat="false" ht="18.75" hidden="false" customHeight="true" outlineLevel="0" collapsed="false">
      <c r="A19" s="9"/>
      <c r="B19" s="10"/>
      <c r="C19" s="10"/>
      <c r="D19" s="10" t="str">
        <f aca="false">IF(AND(B19="",C19=""),"",SUM(B19:C19))</f>
        <v/>
      </c>
      <c r="E19" s="10"/>
      <c r="F19" s="10" t="str">
        <f aca="false">IF(D19="","",D19-IF(E19="",0,E19))</f>
        <v/>
      </c>
      <c r="G19" s="11"/>
    </row>
    <row r="20" customFormat="false" ht="18.75" hidden="false" customHeight="true" outlineLevel="0" collapsed="false">
      <c r="A20" s="6"/>
      <c r="B20" s="7"/>
      <c r="C20" s="7"/>
      <c r="D20" s="7" t="str">
        <f aca="false">IF(AND(B20="",C20=""),"",SUM(B20:C20))</f>
        <v/>
      </c>
      <c r="E20" s="7"/>
      <c r="F20" s="7" t="str">
        <f aca="false">IF(D20="","",D20-IF(E20="",0,E20))</f>
        <v/>
      </c>
      <c r="G20" s="8"/>
    </row>
    <row r="21" customFormat="false" ht="18.75" hidden="false" customHeight="true" outlineLevel="0" collapsed="false">
      <c r="A21" s="9"/>
      <c r="B21" s="10"/>
      <c r="C21" s="10"/>
      <c r="D21" s="10" t="str">
        <f aca="false">IF(AND(B21="",C21=""),"",SUM(B21:C21))</f>
        <v/>
      </c>
      <c r="E21" s="10"/>
      <c r="F21" s="10" t="str">
        <f aca="false">IF(D21="","",D21-IF(E21="",0,E21))</f>
        <v/>
      </c>
      <c r="G21" s="11"/>
    </row>
    <row r="22" customFormat="false" ht="18.75" hidden="false" customHeight="true" outlineLevel="0" collapsed="false">
      <c r="A22" s="6"/>
      <c r="B22" s="7"/>
      <c r="C22" s="7"/>
      <c r="D22" s="7" t="str">
        <f aca="false">IF(AND(B22="",C22=""),"",SUM(B22:C22))</f>
        <v/>
      </c>
      <c r="E22" s="7"/>
      <c r="F22" s="7" t="str">
        <f aca="false">IF(D22="","",D22-IF(E22="",0,E22))</f>
        <v/>
      </c>
      <c r="G22" s="8"/>
    </row>
    <row r="23" customFormat="false" ht="18.75" hidden="false" customHeight="true" outlineLevel="0" collapsed="false">
      <c r="A23" s="9"/>
      <c r="B23" s="10"/>
      <c r="C23" s="10"/>
      <c r="D23" s="10" t="str">
        <f aca="false">IF(AND(B23="",C23=""),"",SUM(B23:C23))</f>
        <v/>
      </c>
      <c r="E23" s="10"/>
      <c r="F23" s="10" t="str">
        <f aca="false">IF(D23="","",D23-IF(E23="",0,E23))</f>
        <v/>
      </c>
      <c r="G23" s="11"/>
    </row>
    <row r="24" customFormat="false" ht="18.75" hidden="false" customHeight="true" outlineLevel="0" collapsed="false">
      <c r="A24" s="6"/>
      <c r="B24" s="7"/>
      <c r="C24" s="7"/>
      <c r="D24" s="7" t="str">
        <f aca="false">IF(AND(B24="",C24=""),"",SUM(B24:C24))</f>
        <v/>
      </c>
      <c r="E24" s="7"/>
      <c r="F24" s="7" t="str">
        <f aca="false">IF(D24="","",D24-IF(E24="",0,E24))</f>
        <v/>
      </c>
      <c r="G24" s="8"/>
    </row>
    <row r="25" customFormat="false" ht="18.75" hidden="false" customHeight="true" outlineLevel="0" collapsed="false">
      <c r="A25" s="9"/>
      <c r="B25" s="10"/>
      <c r="C25" s="10"/>
      <c r="D25" s="10" t="str">
        <f aca="false">IF(AND(B25="",C25=""),"",SUM(B25:C25))</f>
        <v/>
      </c>
      <c r="E25" s="10"/>
      <c r="F25" s="10" t="str">
        <f aca="false">IF(D25="","",D25-IF(E25="",0,E25))</f>
        <v/>
      </c>
      <c r="G25" s="11"/>
    </row>
    <row r="26" customFormat="false" ht="18.75" hidden="false" customHeight="true" outlineLevel="0" collapsed="false">
      <c r="A26" s="6"/>
      <c r="B26" s="7"/>
      <c r="C26" s="7"/>
      <c r="D26" s="7" t="str">
        <f aca="false">IF(AND(B26="",C26=""),"",SUM(B26:C26))</f>
        <v/>
      </c>
      <c r="E26" s="7"/>
      <c r="F26" s="7" t="str">
        <f aca="false">IF(D26="","",D26-IF(E26="",0,E26))</f>
        <v/>
      </c>
      <c r="G26" s="8"/>
    </row>
    <row r="27" customFormat="false" ht="18.75" hidden="false" customHeight="true" outlineLevel="0" collapsed="false">
      <c r="A27" s="9"/>
      <c r="B27" s="10"/>
      <c r="C27" s="10"/>
      <c r="D27" s="10" t="str">
        <f aca="false">IF(AND(B27="",C27=""),"",SUM(B27:C27))</f>
        <v/>
      </c>
      <c r="E27" s="10"/>
      <c r="F27" s="10" t="str">
        <f aca="false">IF(D27="","",D27-IF(E27="",0,E27))</f>
        <v/>
      </c>
      <c r="G27" s="11"/>
    </row>
    <row r="28" customFormat="false" ht="18.75" hidden="false" customHeight="true" outlineLevel="0" collapsed="false">
      <c r="A28" s="6"/>
      <c r="B28" s="7"/>
      <c r="C28" s="7"/>
      <c r="D28" s="7" t="str">
        <f aca="false">IF(AND(B28="",C28=""),"",SUM(B28:C28))</f>
        <v/>
      </c>
      <c r="E28" s="7"/>
      <c r="F28" s="7" t="str">
        <f aca="false">IF(D28="","",D28-IF(E28="",0,E28))</f>
        <v/>
      </c>
      <c r="G28" s="8"/>
    </row>
    <row r="29" customFormat="false" ht="18.75" hidden="false" customHeight="true" outlineLevel="0" collapsed="false">
      <c r="A29" s="9"/>
      <c r="B29" s="10"/>
      <c r="C29" s="10"/>
      <c r="D29" s="10" t="str">
        <f aca="false">IF(AND(B29="",C29=""),"",SUM(B29:C29))</f>
        <v/>
      </c>
      <c r="E29" s="10"/>
      <c r="F29" s="10" t="str">
        <f aca="false">IF(D29="","",D29-IF(E29="",0,E29))</f>
        <v/>
      </c>
      <c r="G29" s="11"/>
    </row>
    <row r="30" customFormat="false" ht="18.75" hidden="false" customHeight="true" outlineLevel="0" collapsed="false">
      <c r="A30" s="6"/>
      <c r="B30" s="7"/>
      <c r="C30" s="7"/>
      <c r="D30" s="7" t="str">
        <f aca="false">IF(AND(B30="",C30=""),"",SUM(B30:C30))</f>
        <v/>
      </c>
      <c r="E30" s="7"/>
      <c r="F30" s="7" t="str">
        <f aca="false">IF(D30="","",D30-IF(E30="",0,E30))</f>
        <v/>
      </c>
      <c r="G30" s="8"/>
    </row>
    <row r="31" customFormat="false" ht="18.75" hidden="false" customHeight="true" outlineLevel="0" collapsed="false">
      <c r="A31" s="9"/>
      <c r="B31" s="10"/>
      <c r="C31" s="10"/>
      <c r="D31" s="10" t="str">
        <f aca="false">IF(AND(B31="",C31=""),"",SUM(B31:C31))</f>
        <v/>
      </c>
      <c r="E31" s="10"/>
      <c r="F31" s="10" t="str">
        <f aca="false">IF(D31="","",D31-IF(E31="",0,E31))</f>
        <v/>
      </c>
      <c r="G31" s="11"/>
    </row>
    <row r="32" customFormat="false" ht="18.75" hidden="false" customHeight="true" outlineLevel="0" collapsed="false">
      <c r="A32" s="6"/>
      <c r="B32" s="7"/>
      <c r="C32" s="7"/>
      <c r="D32" s="7" t="str">
        <f aca="false">IF(AND(B32="",C32=""),"",SUM(B32:C32))</f>
        <v/>
      </c>
      <c r="E32" s="7"/>
      <c r="F32" s="7" t="str">
        <f aca="false">IF(D32="","",D32-IF(E32="",0,E32))</f>
        <v/>
      </c>
      <c r="G32" s="8"/>
    </row>
    <row r="33" customFormat="false" ht="18.75" hidden="false" customHeight="true" outlineLevel="0" collapsed="false">
      <c r="A33" s="9"/>
      <c r="B33" s="10"/>
      <c r="C33" s="10"/>
      <c r="D33" s="10" t="str">
        <f aca="false">IF(AND(B33="",C33=""),"",SUM(B33:C33))</f>
        <v/>
      </c>
      <c r="E33" s="10"/>
      <c r="F33" s="10" t="str">
        <f aca="false">IF(D33="","",D33-IF(E33="",0,E33))</f>
        <v/>
      </c>
      <c r="G33" s="11"/>
    </row>
    <row r="34" customFormat="false" ht="18.75" hidden="false" customHeight="true" outlineLevel="0" collapsed="false">
      <c r="A34" s="6"/>
      <c r="B34" s="7"/>
      <c r="C34" s="7"/>
      <c r="D34" s="7" t="str">
        <f aca="false">IF(AND(B34="",C34=""),"",SUM(B34:C34))</f>
        <v/>
      </c>
      <c r="E34" s="7"/>
      <c r="F34" s="7" t="str">
        <f aca="false">IF(D34="","",D34-IF(E34="",0,E34))</f>
        <v/>
      </c>
      <c r="G34" s="8"/>
    </row>
    <row r="35" customFormat="false" ht="25.5" hidden="false" customHeight="true" outlineLevel="0" collapsed="false">
      <c r="A35" s="12" t="s">
        <v>9</v>
      </c>
      <c r="B35" s="13" t="n">
        <f aca="false">SUM(B4:B34)</f>
        <v>0</v>
      </c>
      <c r="C35" s="13" t="n">
        <f aca="false">SUM(C4:C34)</f>
        <v>0</v>
      </c>
      <c r="D35" s="13" t="n">
        <f aca="false">SUM(D4:D34)</f>
        <v>0</v>
      </c>
      <c r="E35" s="13" t="n">
        <f aca="false">SUM(E4:E34)</f>
        <v>0</v>
      </c>
      <c r="F35" s="13" t="n">
        <f aca="false">SUM(F4:F34)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5" min="3" style="0" width="11"/>
    <col collapsed="false" customWidth="true" hidden="false" outlineLevel="0" max="7" min="6" style="0" width="13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12</v>
      </c>
      <c r="B3" s="5" t="s">
        <v>13</v>
      </c>
      <c r="C3" s="3" t="s">
        <v>14</v>
      </c>
      <c r="D3" s="3" t="s">
        <v>15</v>
      </c>
      <c r="E3" s="4" t="s">
        <v>16</v>
      </c>
      <c r="F3" s="4" t="s">
        <v>17</v>
      </c>
      <c r="G3" s="4" t="s">
        <v>18</v>
      </c>
      <c r="H3" s="3" t="s">
        <v>19</v>
      </c>
    </row>
    <row r="4" customFormat="false" ht="18.75" hidden="false" customHeight="true" outlineLevel="0" collapsed="false">
      <c r="A4" s="14" t="n">
        <v>1</v>
      </c>
      <c r="B4" s="15" t="s">
        <v>20</v>
      </c>
      <c r="C4" s="14" t="n">
        <v>12</v>
      </c>
      <c r="D4" s="14" t="n">
        <v>6</v>
      </c>
      <c r="E4" s="16"/>
      <c r="F4" s="16"/>
      <c r="G4" s="16"/>
      <c r="H4" s="14"/>
    </row>
    <row r="5" customFormat="false" ht="18.75" hidden="false" customHeight="true" outlineLevel="0" collapsed="false">
      <c r="A5" s="9" t="n">
        <v>2</v>
      </c>
      <c r="B5" s="11"/>
      <c r="C5" s="9"/>
      <c r="D5" s="9"/>
      <c r="E5" s="10"/>
      <c r="F5" s="10"/>
      <c r="G5" s="10" t="str">
        <f aca="false">IF(AND(E5&lt;&gt;"",F5&lt;&gt;""),F5-E5,"")</f>
        <v/>
      </c>
      <c r="H5" s="9" t="str">
        <f aca="false">IF(B5="","",IF(C5="","",IF(C5&lt;=0,"OUT OF STOCK",IF(AND(D5&lt;&gt;"",C5&lt;=D5),"REORDER NOW","OK"))))</f>
        <v/>
      </c>
    </row>
    <row r="6" customFormat="false" ht="18.75" hidden="false" customHeight="true" outlineLevel="0" collapsed="false">
      <c r="A6" s="6" t="n">
        <v>3</v>
      </c>
      <c r="B6" s="8"/>
      <c r="C6" s="6"/>
      <c r="D6" s="6"/>
      <c r="E6" s="7"/>
      <c r="F6" s="7"/>
      <c r="G6" s="7" t="str">
        <f aca="false">IF(AND(E6&lt;&gt;"",F6&lt;&gt;""),F6-E6,"")</f>
        <v/>
      </c>
      <c r="H6" s="6" t="str">
        <f aca="false">IF(B6="","",IF(C6="","",IF(C6&lt;=0,"OUT OF STOCK",IF(AND(D6&lt;&gt;"",C6&lt;=D6),"REORDER NOW","OK"))))</f>
        <v/>
      </c>
    </row>
    <row r="7" customFormat="false" ht="18.75" hidden="false" customHeight="true" outlineLevel="0" collapsed="false">
      <c r="A7" s="9" t="n">
        <v>4</v>
      </c>
      <c r="B7" s="11"/>
      <c r="C7" s="9"/>
      <c r="D7" s="9"/>
      <c r="E7" s="10"/>
      <c r="F7" s="10"/>
      <c r="G7" s="10" t="str">
        <f aca="false">IF(AND(E7&lt;&gt;"",F7&lt;&gt;""),F7-E7,"")</f>
        <v/>
      </c>
      <c r="H7" s="9" t="str">
        <f aca="false">IF(B7="","",IF(C7="","",IF(C7&lt;=0,"OUT OF STOCK",IF(AND(D7&lt;&gt;"",C7&lt;=D7),"REORDER NOW","OK"))))</f>
        <v/>
      </c>
    </row>
    <row r="8" customFormat="false" ht="18.75" hidden="false" customHeight="true" outlineLevel="0" collapsed="false">
      <c r="A8" s="6" t="n">
        <v>5</v>
      </c>
      <c r="B8" s="8"/>
      <c r="C8" s="6"/>
      <c r="D8" s="6"/>
      <c r="E8" s="7"/>
      <c r="F8" s="7"/>
      <c r="G8" s="7" t="str">
        <f aca="false">IF(AND(E8&lt;&gt;"",F8&lt;&gt;""),F8-E8,"")</f>
        <v/>
      </c>
      <c r="H8" s="6" t="str">
        <f aca="false">IF(B8="","",IF(C8="","",IF(C8&lt;=0,"OUT OF STOCK",IF(AND(D8&lt;&gt;"",C8&lt;=D8),"REORDER NOW","OK"))))</f>
        <v/>
      </c>
    </row>
    <row r="9" customFormat="false" ht="18.75" hidden="false" customHeight="true" outlineLevel="0" collapsed="false">
      <c r="A9" s="9" t="n">
        <v>6</v>
      </c>
      <c r="B9" s="11"/>
      <c r="C9" s="9"/>
      <c r="D9" s="9"/>
      <c r="E9" s="10"/>
      <c r="F9" s="10"/>
      <c r="G9" s="10" t="str">
        <f aca="false">IF(AND(E9&lt;&gt;"",F9&lt;&gt;""),F9-E9,"")</f>
        <v/>
      </c>
      <c r="H9" s="9" t="str">
        <f aca="false">IF(B9="","",IF(C9="","",IF(C9&lt;=0,"OUT OF STOCK",IF(AND(D9&lt;&gt;"",C9&lt;=D9),"REORDER NOW","OK"))))</f>
        <v/>
      </c>
    </row>
    <row r="10" customFormat="false" ht="18.75" hidden="false" customHeight="true" outlineLevel="0" collapsed="false">
      <c r="A10" s="6" t="n">
        <v>7</v>
      </c>
      <c r="B10" s="8"/>
      <c r="C10" s="6"/>
      <c r="D10" s="6"/>
      <c r="E10" s="7"/>
      <c r="F10" s="7"/>
      <c r="G10" s="7" t="str">
        <f aca="false">IF(AND(E10&lt;&gt;"",F10&lt;&gt;""),F10-E10,"")</f>
        <v/>
      </c>
      <c r="H10" s="6" t="str">
        <f aca="false">IF(B10="","",IF(C10="","",IF(C10&lt;=0,"OUT OF STOCK",IF(AND(D10&lt;&gt;"",C10&lt;=D10),"REORDER NOW","OK"))))</f>
        <v/>
      </c>
    </row>
    <row r="11" customFormat="false" ht="18.75" hidden="false" customHeight="true" outlineLevel="0" collapsed="false">
      <c r="A11" s="9" t="n">
        <v>8</v>
      </c>
      <c r="B11" s="11"/>
      <c r="C11" s="9"/>
      <c r="D11" s="9"/>
      <c r="E11" s="10"/>
      <c r="F11" s="10"/>
      <c r="G11" s="10" t="str">
        <f aca="false">IF(AND(E11&lt;&gt;"",F11&lt;&gt;""),F11-E11,"")</f>
        <v/>
      </c>
      <c r="H11" s="9" t="str">
        <f aca="false">IF(B11="","",IF(C11="","",IF(C11&lt;=0,"OUT OF STOCK",IF(AND(D11&lt;&gt;"",C11&lt;=D11),"REORDER NOW","OK"))))</f>
        <v/>
      </c>
    </row>
    <row r="12" customFormat="false" ht="18.75" hidden="false" customHeight="true" outlineLevel="0" collapsed="false">
      <c r="A12" s="6" t="n">
        <v>9</v>
      </c>
      <c r="B12" s="8"/>
      <c r="C12" s="6"/>
      <c r="D12" s="6"/>
      <c r="E12" s="7"/>
      <c r="F12" s="7"/>
      <c r="G12" s="7" t="str">
        <f aca="false">IF(AND(E12&lt;&gt;"",F12&lt;&gt;""),F12-E12,"")</f>
        <v/>
      </c>
      <c r="H12" s="6" t="str">
        <f aca="false">IF(B12="","",IF(C12="","",IF(C12&lt;=0,"OUT OF STOCK",IF(AND(D12&lt;&gt;"",C12&lt;=D12),"REORDER NOW","OK"))))</f>
        <v/>
      </c>
    </row>
    <row r="13" customFormat="false" ht="18.75" hidden="false" customHeight="true" outlineLevel="0" collapsed="false">
      <c r="A13" s="9" t="n">
        <v>10</v>
      </c>
      <c r="B13" s="11"/>
      <c r="C13" s="9"/>
      <c r="D13" s="9"/>
      <c r="E13" s="10"/>
      <c r="F13" s="10"/>
      <c r="G13" s="10" t="str">
        <f aca="false">IF(AND(E13&lt;&gt;"",F13&lt;&gt;""),F13-E13,"")</f>
        <v/>
      </c>
      <c r="H13" s="9" t="str">
        <f aca="false">IF(B13="","",IF(C13="","",IF(C13&lt;=0,"OUT OF STOCK",IF(AND(D13&lt;&gt;"",C13&lt;=D13),"REORDER NOW","OK"))))</f>
        <v/>
      </c>
    </row>
    <row r="14" customFormat="false" ht="18.75" hidden="false" customHeight="true" outlineLevel="0" collapsed="false">
      <c r="A14" s="6" t="n">
        <v>11</v>
      </c>
      <c r="B14" s="8"/>
      <c r="C14" s="6"/>
      <c r="D14" s="6"/>
      <c r="E14" s="7"/>
      <c r="F14" s="7"/>
      <c r="G14" s="7" t="str">
        <f aca="false">IF(AND(E14&lt;&gt;"",F14&lt;&gt;""),F14-E14,"")</f>
        <v/>
      </c>
      <c r="H14" s="6" t="str">
        <f aca="false">IF(B14="","",IF(C14="","",IF(C14&lt;=0,"OUT OF STOCK",IF(AND(D14&lt;&gt;"",C14&lt;=D14),"REORDER NOW","OK"))))</f>
        <v/>
      </c>
    </row>
    <row r="15" customFormat="false" ht="18.75" hidden="false" customHeight="true" outlineLevel="0" collapsed="false">
      <c r="A15" s="9" t="n">
        <v>12</v>
      </c>
      <c r="B15" s="11"/>
      <c r="C15" s="9"/>
      <c r="D15" s="9"/>
      <c r="E15" s="10"/>
      <c r="F15" s="10"/>
      <c r="G15" s="10" t="str">
        <f aca="false">IF(AND(E15&lt;&gt;"",F15&lt;&gt;""),F15-E15,"")</f>
        <v/>
      </c>
      <c r="H15" s="9" t="str">
        <f aca="false">IF(B15="","",IF(C15="","",IF(C15&lt;=0,"OUT OF STOCK",IF(AND(D15&lt;&gt;"",C15&lt;=D15),"REORDER NOW","OK"))))</f>
        <v/>
      </c>
    </row>
    <row r="16" customFormat="false" ht="18.75" hidden="false" customHeight="true" outlineLevel="0" collapsed="false">
      <c r="A16" s="6" t="n">
        <v>13</v>
      </c>
      <c r="B16" s="8"/>
      <c r="C16" s="6"/>
      <c r="D16" s="6"/>
      <c r="E16" s="7"/>
      <c r="F16" s="7"/>
      <c r="G16" s="7" t="str">
        <f aca="false">IF(AND(E16&lt;&gt;"",F16&lt;&gt;""),F16-E16,"")</f>
        <v/>
      </c>
      <c r="H16" s="6" t="str">
        <f aca="false">IF(B16="","",IF(C16="","",IF(C16&lt;=0,"OUT OF STOCK",IF(AND(D16&lt;&gt;"",C16&lt;=D16),"REORDER NOW","OK"))))</f>
        <v/>
      </c>
    </row>
    <row r="17" customFormat="false" ht="18.75" hidden="false" customHeight="true" outlineLevel="0" collapsed="false">
      <c r="A17" s="9" t="n">
        <v>14</v>
      </c>
      <c r="B17" s="11"/>
      <c r="C17" s="9"/>
      <c r="D17" s="9"/>
      <c r="E17" s="10"/>
      <c r="F17" s="10"/>
      <c r="G17" s="10" t="str">
        <f aca="false">IF(AND(E17&lt;&gt;"",F17&lt;&gt;""),F17-E17,"")</f>
        <v/>
      </c>
      <c r="H17" s="9" t="str">
        <f aca="false">IF(B17="","",IF(C17="","",IF(C17&lt;=0,"OUT OF STOCK",IF(AND(D17&lt;&gt;"",C17&lt;=D17),"REORDER NOW","OK"))))</f>
        <v/>
      </c>
    </row>
    <row r="18" customFormat="false" ht="18.75" hidden="false" customHeight="true" outlineLevel="0" collapsed="false">
      <c r="A18" s="6" t="n">
        <v>15</v>
      </c>
      <c r="B18" s="8"/>
      <c r="C18" s="6"/>
      <c r="D18" s="6"/>
      <c r="E18" s="7"/>
      <c r="F18" s="7"/>
      <c r="G18" s="7" t="str">
        <f aca="false">IF(AND(E18&lt;&gt;"",F18&lt;&gt;""),F18-E18,"")</f>
        <v/>
      </c>
      <c r="H18" s="6" t="str">
        <f aca="false">IF(B18="","",IF(C18="","",IF(C18&lt;=0,"OUT OF STOCK",IF(AND(D18&lt;&gt;"",C18&lt;=D18),"REORDER NOW","OK"))))</f>
        <v/>
      </c>
    </row>
    <row r="19" customFormat="false" ht="18.75" hidden="false" customHeight="true" outlineLevel="0" collapsed="false">
      <c r="A19" s="9" t="n">
        <v>16</v>
      </c>
      <c r="B19" s="11"/>
      <c r="C19" s="9"/>
      <c r="D19" s="9"/>
      <c r="E19" s="10"/>
      <c r="F19" s="10"/>
      <c r="G19" s="10" t="str">
        <f aca="false">IF(AND(E19&lt;&gt;"",F19&lt;&gt;""),F19-E19,"")</f>
        <v/>
      </c>
      <c r="H19" s="9" t="str">
        <f aca="false">IF(B19="","",IF(C19="","",IF(C19&lt;=0,"OUT OF STOCK",IF(AND(D19&lt;&gt;"",C19&lt;=D19),"REORDER NOW","OK"))))</f>
        <v/>
      </c>
    </row>
    <row r="20" customFormat="false" ht="18.75" hidden="false" customHeight="true" outlineLevel="0" collapsed="false">
      <c r="A20" s="6" t="n">
        <v>17</v>
      </c>
      <c r="B20" s="8"/>
      <c r="C20" s="6"/>
      <c r="D20" s="6"/>
      <c r="E20" s="7"/>
      <c r="F20" s="7"/>
      <c r="G20" s="7" t="str">
        <f aca="false">IF(AND(E20&lt;&gt;"",F20&lt;&gt;""),F20-E20,"")</f>
        <v/>
      </c>
      <c r="H20" s="6" t="str">
        <f aca="false">IF(B20="","",IF(C20="","",IF(C20&lt;=0,"OUT OF STOCK",IF(AND(D20&lt;&gt;"",C20&lt;=D20),"REORDER NOW","OK"))))</f>
        <v/>
      </c>
    </row>
    <row r="21" customFormat="false" ht="18.75" hidden="false" customHeight="true" outlineLevel="0" collapsed="false">
      <c r="A21" s="9" t="n">
        <v>18</v>
      </c>
      <c r="B21" s="11"/>
      <c r="C21" s="9"/>
      <c r="D21" s="9"/>
      <c r="E21" s="10"/>
      <c r="F21" s="10"/>
      <c r="G21" s="10" t="str">
        <f aca="false">IF(AND(E21&lt;&gt;"",F21&lt;&gt;""),F21-E21,"")</f>
        <v/>
      </c>
      <c r="H21" s="9" t="str">
        <f aca="false">IF(B21="","",IF(C21="","",IF(C21&lt;=0,"OUT OF STOCK",IF(AND(D21&lt;&gt;"",C21&lt;=D21),"REORDER NOW","OK"))))</f>
        <v/>
      </c>
    </row>
    <row r="22" customFormat="false" ht="18.75" hidden="false" customHeight="true" outlineLevel="0" collapsed="false">
      <c r="A22" s="6" t="n">
        <v>19</v>
      </c>
      <c r="B22" s="8"/>
      <c r="C22" s="6"/>
      <c r="D22" s="6"/>
      <c r="E22" s="7"/>
      <c r="F22" s="7"/>
      <c r="G22" s="7" t="str">
        <f aca="false">IF(AND(E22&lt;&gt;"",F22&lt;&gt;""),F22-E22,"")</f>
        <v/>
      </c>
      <c r="H22" s="6" t="str">
        <f aca="false">IF(B22="","",IF(C22="","",IF(C22&lt;=0,"OUT OF STOCK",IF(AND(D22&lt;&gt;"",C22&lt;=D22),"REORDER NOW","OK"))))</f>
        <v/>
      </c>
    </row>
    <row r="23" customFormat="false" ht="18.75" hidden="false" customHeight="true" outlineLevel="0" collapsed="false">
      <c r="A23" s="9" t="n">
        <v>20</v>
      </c>
      <c r="B23" s="11"/>
      <c r="C23" s="9"/>
      <c r="D23" s="9"/>
      <c r="E23" s="10"/>
      <c r="F23" s="10"/>
      <c r="G23" s="10" t="str">
        <f aca="false">IF(AND(E23&lt;&gt;"",F23&lt;&gt;""),F23-E23,"")</f>
        <v/>
      </c>
      <c r="H23" s="9" t="str">
        <f aca="false">IF(B23="","",IF(C23="","",IF(C23&lt;=0,"OUT OF STOCK",IF(AND(D23&lt;&gt;"",C23&lt;=D23),"REORDER NOW","OK"))))</f>
        <v/>
      </c>
    </row>
    <row r="24" customFormat="false" ht="18.75" hidden="false" customHeight="true" outlineLevel="0" collapsed="false">
      <c r="A24" s="6" t="n">
        <v>21</v>
      </c>
      <c r="B24" s="8"/>
      <c r="C24" s="6"/>
      <c r="D24" s="6"/>
      <c r="E24" s="7"/>
      <c r="F24" s="7"/>
      <c r="G24" s="7" t="str">
        <f aca="false">IF(AND(E24&lt;&gt;"",F24&lt;&gt;""),F24-E24,"")</f>
        <v/>
      </c>
      <c r="H24" s="6" t="str">
        <f aca="false">IF(B24="","",IF(C24="","",IF(C24&lt;=0,"OUT OF STOCK",IF(AND(D24&lt;&gt;"",C24&lt;=D24),"REORDER NOW","OK"))))</f>
        <v/>
      </c>
    </row>
    <row r="25" customFormat="false" ht="18.75" hidden="false" customHeight="true" outlineLevel="0" collapsed="false">
      <c r="A25" s="9" t="n">
        <v>22</v>
      </c>
      <c r="B25" s="11"/>
      <c r="C25" s="9"/>
      <c r="D25" s="9"/>
      <c r="E25" s="10"/>
      <c r="F25" s="10"/>
      <c r="G25" s="10" t="str">
        <f aca="false">IF(AND(E25&lt;&gt;"",F25&lt;&gt;""),F25-E25,"")</f>
        <v/>
      </c>
      <c r="H25" s="9" t="str">
        <f aca="false">IF(B25="","",IF(C25="","",IF(C25&lt;=0,"OUT OF STOCK",IF(AND(D25&lt;&gt;"",C25&lt;=D25),"REORDER NOW","OK"))))</f>
        <v/>
      </c>
    </row>
    <row r="26" customFormat="false" ht="18.75" hidden="false" customHeight="true" outlineLevel="0" collapsed="false">
      <c r="A26" s="6" t="n">
        <v>23</v>
      </c>
      <c r="B26" s="8"/>
      <c r="C26" s="6"/>
      <c r="D26" s="6"/>
      <c r="E26" s="7"/>
      <c r="F26" s="7"/>
      <c r="G26" s="7" t="str">
        <f aca="false">IF(AND(E26&lt;&gt;"",F26&lt;&gt;""),F26-E26,"")</f>
        <v/>
      </c>
      <c r="H26" s="6" t="str">
        <f aca="false">IF(B26="","",IF(C26="","",IF(C26&lt;=0,"OUT OF STOCK",IF(AND(D26&lt;&gt;"",C26&lt;=D26),"REORDER NOW","OK"))))</f>
        <v/>
      </c>
    </row>
    <row r="27" customFormat="false" ht="18.75" hidden="false" customHeight="true" outlineLevel="0" collapsed="false">
      <c r="A27" s="9" t="n">
        <v>24</v>
      </c>
      <c r="B27" s="11"/>
      <c r="C27" s="9"/>
      <c r="D27" s="9"/>
      <c r="E27" s="10"/>
      <c r="F27" s="10"/>
      <c r="G27" s="10" t="str">
        <f aca="false">IF(AND(E27&lt;&gt;"",F27&lt;&gt;""),F27-E27,"")</f>
        <v/>
      </c>
      <c r="H27" s="9" t="str">
        <f aca="false">IF(B27="","",IF(C27="","",IF(C27&lt;=0,"OUT OF STOCK",IF(AND(D27&lt;&gt;"",C27&lt;=D27),"REORDER NOW","OK"))))</f>
        <v/>
      </c>
    </row>
    <row r="28" customFormat="false" ht="18.75" hidden="false" customHeight="true" outlineLevel="0" collapsed="false">
      <c r="A28" s="6" t="n">
        <v>25</v>
      </c>
      <c r="B28" s="8"/>
      <c r="C28" s="6"/>
      <c r="D28" s="6"/>
      <c r="E28" s="7"/>
      <c r="F28" s="7"/>
      <c r="G28" s="7" t="str">
        <f aca="false">IF(AND(E28&lt;&gt;"",F28&lt;&gt;""),F28-E28,"")</f>
        <v/>
      </c>
      <c r="H28" s="6" t="str">
        <f aca="false">IF(B28="","",IF(C28="","",IF(C28&lt;=0,"OUT OF STOCK",IF(AND(D28&lt;&gt;"",C28&lt;=D28),"REORDER NOW","OK"))))</f>
        <v/>
      </c>
    </row>
    <row r="29" customFormat="false" ht="18.75" hidden="false" customHeight="true" outlineLevel="0" collapsed="false">
      <c r="A29" s="9" t="n">
        <v>26</v>
      </c>
      <c r="B29" s="11"/>
      <c r="C29" s="9"/>
      <c r="D29" s="9"/>
      <c r="E29" s="10"/>
      <c r="F29" s="10"/>
      <c r="G29" s="10" t="str">
        <f aca="false">IF(AND(E29&lt;&gt;"",F29&lt;&gt;""),F29-E29,"")</f>
        <v/>
      </c>
      <c r="H29" s="9" t="str">
        <f aca="false">IF(B29="","",IF(C29="","",IF(C29&lt;=0,"OUT OF STOCK",IF(AND(D29&lt;&gt;"",C29&lt;=D29),"REORDER NOW","OK"))))</f>
        <v/>
      </c>
    </row>
    <row r="30" customFormat="false" ht="18.75" hidden="false" customHeight="true" outlineLevel="0" collapsed="false">
      <c r="A30" s="6" t="n">
        <v>27</v>
      </c>
      <c r="B30" s="8"/>
      <c r="C30" s="6"/>
      <c r="D30" s="6"/>
      <c r="E30" s="7"/>
      <c r="F30" s="7"/>
      <c r="G30" s="7" t="str">
        <f aca="false">IF(AND(E30&lt;&gt;"",F30&lt;&gt;""),F30-E30,"")</f>
        <v/>
      </c>
      <c r="H30" s="6" t="str">
        <f aca="false">IF(B30="","",IF(C30="","",IF(C30&lt;=0,"OUT OF STOCK",IF(AND(D30&lt;&gt;"",C30&lt;=D30),"REORDER NOW","OK"))))</f>
        <v/>
      </c>
    </row>
    <row r="31" customFormat="false" ht="18.75" hidden="false" customHeight="true" outlineLevel="0" collapsed="false">
      <c r="A31" s="9" t="n">
        <v>28</v>
      </c>
      <c r="B31" s="11"/>
      <c r="C31" s="9"/>
      <c r="D31" s="9"/>
      <c r="E31" s="10"/>
      <c r="F31" s="10"/>
      <c r="G31" s="10" t="str">
        <f aca="false">IF(AND(E31&lt;&gt;"",F31&lt;&gt;""),F31-E31,"")</f>
        <v/>
      </c>
      <c r="H31" s="9" t="str">
        <f aca="false">IF(B31="","",IF(C31="","",IF(C31&lt;=0,"OUT OF STOCK",IF(AND(D31&lt;&gt;"",C31&lt;=D31),"REORDER NOW","OK"))))</f>
        <v/>
      </c>
    </row>
    <row r="32" customFormat="false" ht="18.75" hidden="false" customHeight="true" outlineLevel="0" collapsed="false">
      <c r="A32" s="6" t="n">
        <v>29</v>
      </c>
      <c r="B32" s="8"/>
      <c r="C32" s="6"/>
      <c r="D32" s="6"/>
      <c r="E32" s="7"/>
      <c r="F32" s="7"/>
      <c r="G32" s="7" t="str">
        <f aca="false">IF(AND(E32&lt;&gt;"",F32&lt;&gt;""),F32-E32,"")</f>
        <v/>
      </c>
      <c r="H32" s="6" t="str">
        <f aca="false">IF(B32="","",IF(C32="","",IF(C32&lt;=0,"OUT OF STOCK",IF(AND(D32&lt;&gt;"",C32&lt;=D32),"REORDER NOW","OK"))))</f>
        <v/>
      </c>
    </row>
    <row r="33" customFormat="false" ht="18.75" hidden="false" customHeight="true" outlineLevel="0" collapsed="false">
      <c r="A33" s="9" t="n">
        <v>30</v>
      </c>
      <c r="B33" s="11"/>
      <c r="C33" s="9"/>
      <c r="D33" s="9"/>
      <c r="E33" s="10"/>
      <c r="F33" s="10"/>
      <c r="G33" s="10" t="str">
        <f aca="false">IF(AND(E33&lt;&gt;"",F33&lt;&gt;""),F33-E33,"")</f>
        <v/>
      </c>
      <c r="H33" s="9" t="str">
        <f aca="false">IF(B33="","",IF(C33="","",IF(C33&lt;=0,"OUT OF STOCK",IF(AND(D33&lt;&gt;"",C33&lt;=D33),"REORDER NOW","OK"))))</f>
        <v/>
      </c>
    </row>
    <row r="34" customFormat="false" ht="18.75" hidden="false" customHeight="true" outlineLevel="0" collapsed="false">
      <c r="A34" s="6" t="n">
        <v>31</v>
      </c>
      <c r="B34" s="8"/>
      <c r="C34" s="6"/>
      <c r="D34" s="6"/>
      <c r="E34" s="7"/>
      <c r="F34" s="7"/>
      <c r="G34" s="7" t="str">
        <f aca="false">IF(AND(E34&lt;&gt;"",F34&lt;&gt;""),F34-E34,"")</f>
        <v/>
      </c>
      <c r="H34" s="6" t="str">
        <f aca="false">IF(B34="","",IF(C34="","",IF(C34&lt;=0,"OUT OF STOCK",IF(AND(D34&lt;&gt;"",C34&lt;=D34),"REORDER NOW","OK"))))</f>
        <v/>
      </c>
    </row>
    <row r="35" customFormat="false" ht="18.75" hidden="false" customHeight="true" outlineLevel="0" collapsed="false">
      <c r="A35" s="9" t="n">
        <v>32</v>
      </c>
      <c r="B35" s="11"/>
      <c r="C35" s="9"/>
      <c r="D35" s="9"/>
      <c r="E35" s="10"/>
      <c r="F35" s="10"/>
      <c r="G35" s="10" t="str">
        <f aca="false">IF(AND(E35&lt;&gt;"",F35&lt;&gt;""),F35-E35,"")</f>
        <v/>
      </c>
      <c r="H35" s="9" t="str">
        <f aca="false">IF(B35="","",IF(C35="","",IF(C35&lt;=0,"OUT OF STOCK",IF(AND(D35&lt;&gt;"",C35&lt;=D35),"REORDER NOW","OK"))))</f>
        <v/>
      </c>
    </row>
    <row r="36" customFormat="false" ht="18.75" hidden="false" customHeight="true" outlineLevel="0" collapsed="false">
      <c r="A36" s="6" t="n">
        <v>33</v>
      </c>
      <c r="B36" s="8"/>
      <c r="C36" s="6"/>
      <c r="D36" s="6"/>
      <c r="E36" s="7"/>
      <c r="F36" s="7"/>
      <c r="G36" s="7" t="str">
        <f aca="false">IF(AND(E36&lt;&gt;"",F36&lt;&gt;""),F36-E36,"")</f>
        <v/>
      </c>
      <c r="H36" s="6" t="str">
        <f aca="false">IF(B36="","",IF(C36="","",IF(C36&lt;=0,"OUT OF STOCK",IF(AND(D36&lt;&gt;"",C36&lt;=D36),"REORDER NOW","OK"))))</f>
        <v/>
      </c>
    </row>
    <row r="37" customFormat="false" ht="18.75" hidden="false" customHeight="true" outlineLevel="0" collapsed="false">
      <c r="A37" s="9" t="n">
        <v>34</v>
      </c>
      <c r="B37" s="11"/>
      <c r="C37" s="9"/>
      <c r="D37" s="9"/>
      <c r="E37" s="10"/>
      <c r="F37" s="10"/>
      <c r="G37" s="10" t="str">
        <f aca="false">IF(AND(E37&lt;&gt;"",F37&lt;&gt;""),F37-E37,"")</f>
        <v/>
      </c>
      <c r="H37" s="9" t="str">
        <f aca="false">IF(B37="","",IF(C37="","",IF(C37&lt;=0,"OUT OF STOCK",IF(AND(D37&lt;&gt;"",C37&lt;=D37),"REORDER NOW","OK"))))</f>
        <v/>
      </c>
    </row>
    <row r="38" customFormat="false" ht="18.75" hidden="false" customHeight="true" outlineLevel="0" collapsed="false">
      <c r="A38" s="6" t="n">
        <v>35</v>
      </c>
      <c r="B38" s="8"/>
      <c r="C38" s="6"/>
      <c r="D38" s="6"/>
      <c r="E38" s="7"/>
      <c r="F38" s="7"/>
      <c r="G38" s="7" t="str">
        <f aca="false">IF(AND(E38&lt;&gt;"",F38&lt;&gt;""),F38-E38,"")</f>
        <v/>
      </c>
      <c r="H38" s="6" t="str">
        <f aca="false">IF(B38="","",IF(C38="","",IF(C38&lt;=0,"OUT OF STOCK",IF(AND(D38&lt;&gt;"",C38&lt;=D38),"REORDER NOW","OK"))))</f>
        <v/>
      </c>
    </row>
    <row r="39" customFormat="false" ht="18.75" hidden="false" customHeight="true" outlineLevel="0" collapsed="false">
      <c r="A39" s="9" t="n">
        <v>36</v>
      </c>
      <c r="B39" s="11"/>
      <c r="C39" s="9"/>
      <c r="D39" s="9"/>
      <c r="E39" s="10"/>
      <c r="F39" s="10"/>
      <c r="G39" s="10" t="str">
        <f aca="false">IF(AND(E39&lt;&gt;"",F39&lt;&gt;""),F39-E39,"")</f>
        <v/>
      </c>
      <c r="H39" s="9" t="str">
        <f aca="false">IF(B39="","",IF(C39="","",IF(C39&lt;=0,"OUT OF STOCK",IF(AND(D39&lt;&gt;"",C39&lt;=D39),"REORDER NOW","OK"))))</f>
        <v/>
      </c>
    </row>
    <row r="40" customFormat="false" ht="18.75" hidden="false" customHeight="true" outlineLevel="0" collapsed="false">
      <c r="A40" s="6" t="n">
        <v>37</v>
      </c>
      <c r="B40" s="8"/>
      <c r="C40" s="6"/>
      <c r="D40" s="6"/>
      <c r="E40" s="7"/>
      <c r="F40" s="7"/>
      <c r="G40" s="7" t="str">
        <f aca="false">IF(AND(E40&lt;&gt;"",F40&lt;&gt;""),F40-E40,"")</f>
        <v/>
      </c>
      <c r="H40" s="6" t="str">
        <f aca="false">IF(B40="","",IF(C40="","",IF(C40&lt;=0,"OUT OF STOCK",IF(AND(D40&lt;&gt;"",C40&lt;=D40),"REORDER NOW","OK"))))</f>
        <v/>
      </c>
    </row>
    <row r="41" customFormat="false" ht="18.75" hidden="false" customHeight="true" outlineLevel="0" collapsed="false">
      <c r="A41" s="9" t="n">
        <v>38</v>
      </c>
      <c r="B41" s="11"/>
      <c r="C41" s="9"/>
      <c r="D41" s="9"/>
      <c r="E41" s="10"/>
      <c r="F41" s="10"/>
      <c r="G41" s="10" t="str">
        <f aca="false">IF(AND(E41&lt;&gt;"",F41&lt;&gt;""),F41-E41,"")</f>
        <v/>
      </c>
      <c r="H41" s="9" t="str">
        <f aca="false">IF(B41="","",IF(C41="","",IF(C41&lt;=0,"OUT OF STOCK",IF(AND(D41&lt;&gt;"",C41&lt;=D41),"REORDER NOW","OK"))))</f>
        <v/>
      </c>
    </row>
    <row r="42" customFormat="false" ht="18.75" hidden="false" customHeight="true" outlineLevel="0" collapsed="false">
      <c r="A42" s="6" t="n">
        <v>39</v>
      </c>
      <c r="B42" s="8"/>
      <c r="C42" s="6"/>
      <c r="D42" s="6"/>
      <c r="E42" s="7"/>
      <c r="F42" s="7"/>
      <c r="G42" s="7" t="str">
        <f aca="false">IF(AND(E42&lt;&gt;"",F42&lt;&gt;""),F42-E42,"")</f>
        <v/>
      </c>
      <c r="H42" s="6" t="str">
        <f aca="false">IF(B42="","",IF(C42="","",IF(C42&lt;=0,"OUT OF STOCK",IF(AND(D42&lt;&gt;"",C42&lt;=D42),"REORDER NOW","OK"))))</f>
        <v/>
      </c>
    </row>
    <row r="43" customFormat="false" ht="18.75" hidden="false" customHeight="true" outlineLevel="0" collapsed="false">
      <c r="A43" s="9" t="n">
        <v>40</v>
      </c>
      <c r="B43" s="11"/>
      <c r="C43" s="9"/>
      <c r="D43" s="9"/>
      <c r="E43" s="10"/>
      <c r="F43" s="10"/>
      <c r="G43" s="10" t="str">
        <f aca="false">IF(AND(E43&lt;&gt;"",F43&lt;&gt;""),F43-E43,"")</f>
        <v/>
      </c>
      <c r="H43" s="9" t="str">
        <f aca="false">IF(B43="","",IF(C43="","",IF(C43&lt;=0,"OUT OF STOCK",IF(AND(D43&lt;&gt;"",C43&lt;=D43),"REORDER NOW","OK"))))</f>
        <v/>
      </c>
    </row>
    <row r="44" customFormat="false" ht="25.5" hidden="false" customHeight="true" outlineLevel="0" collapsed="false">
      <c r="A44" s="17"/>
      <c r="B44" s="12" t="s">
        <v>21</v>
      </c>
      <c r="C44" s="17"/>
      <c r="D44" s="17"/>
      <c r="E44" s="13" t="n">
        <f aca="false">SUMPRODUCT(C4:C43,N(E4:E43))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22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23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12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</row>
    <row r="4" customFormat="false" ht="18.75" hidden="false" customHeight="true" outlineLevel="0" collapsed="false">
      <c r="A4" s="14" t="n">
        <v>1</v>
      </c>
      <c r="B4" s="15" t="s">
        <v>29</v>
      </c>
      <c r="C4" s="15" t="s">
        <v>30</v>
      </c>
      <c r="D4" s="15" t="s">
        <v>31</v>
      </c>
      <c r="E4" s="15" t="s">
        <v>32</v>
      </c>
      <c r="F4" s="15" t="s">
        <v>33</v>
      </c>
    </row>
    <row r="5" customFormat="false" ht="18.75" hidden="false" customHeight="true" outlineLevel="0" collapsed="false">
      <c r="A5" s="9" t="n">
        <v>2</v>
      </c>
      <c r="B5" s="11"/>
      <c r="C5" s="11"/>
      <c r="D5" s="11"/>
      <c r="E5" s="11"/>
      <c r="F5" s="11"/>
    </row>
    <row r="6" customFormat="false" ht="18.75" hidden="false" customHeight="true" outlineLevel="0" collapsed="false">
      <c r="A6" s="6" t="n">
        <v>3</v>
      </c>
      <c r="B6" s="8"/>
      <c r="C6" s="8"/>
      <c r="D6" s="8"/>
      <c r="E6" s="8"/>
      <c r="F6" s="8"/>
    </row>
    <row r="7" customFormat="false" ht="18.75" hidden="false" customHeight="true" outlineLevel="0" collapsed="false">
      <c r="A7" s="9" t="n">
        <v>4</v>
      </c>
      <c r="B7" s="11"/>
      <c r="C7" s="11"/>
      <c r="D7" s="11"/>
      <c r="E7" s="11"/>
      <c r="F7" s="11"/>
    </row>
    <row r="8" customFormat="false" ht="18.75" hidden="false" customHeight="true" outlineLevel="0" collapsed="false">
      <c r="A8" s="6" t="n">
        <v>5</v>
      </c>
      <c r="B8" s="8"/>
      <c r="C8" s="8"/>
      <c r="D8" s="8"/>
      <c r="E8" s="8"/>
      <c r="F8" s="8"/>
    </row>
    <row r="9" customFormat="false" ht="18.75" hidden="false" customHeight="true" outlineLevel="0" collapsed="false">
      <c r="A9" s="9" t="n">
        <v>6</v>
      </c>
      <c r="B9" s="11"/>
      <c r="C9" s="11"/>
      <c r="D9" s="11"/>
      <c r="E9" s="11"/>
      <c r="F9" s="11"/>
    </row>
    <row r="10" customFormat="false" ht="18.75" hidden="false" customHeight="true" outlineLevel="0" collapsed="false">
      <c r="A10" s="6" t="n">
        <v>7</v>
      </c>
      <c r="B10" s="8"/>
      <c r="C10" s="8"/>
      <c r="D10" s="8"/>
      <c r="E10" s="8"/>
      <c r="F10" s="8"/>
    </row>
    <row r="11" customFormat="false" ht="18.75" hidden="false" customHeight="true" outlineLevel="0" collapsed="false">
      <c r="A11" s="9" t="n">
        <v>8</v>
      </c>
      <c r="B11" s="11"/>
      <c r="C11" s="11"/>
      <c r="D11" s="11"/>
      <c r="E11" s="11"/>
      <c r="F11" s="11"/>
    </row>
    <row r="12" customFormat="false" ht="18.75" hidden="false" customHeight="true" outlineLevel="0" collapsed="false">
      <c r="A12" s="6" t="n">
        <v>9</v>
      </c>
      <c r="B12" s="8"/>
      <c r="C12" s="8"/>
      <c r="D12" s="8"/>
      <c r="E12" s="8"/>
      <c r="F12" s="8"/>
    </row>
    <row r="13" customFormat="false" ht="18.75" hidden="false" customHeight="true" outlineLevel="0" collapsed="false">
      <c r="A13" s="9" t="n">
        <v>10</v>
      </c>
      <c r="B13" s="11"/>
      <c r="C13" s="11"/>
      <c r="D13" s="11"/>
      <c r="E13" s="11"/>
      <c r="F13" s="11"/>
    </row>
    <row r="14" customFormat="false" ht="18.75" hidden="false" customHeight="true" outlineLevel="0" collapsed="false">
      <c r="A14" s="6" t="n">
        <v>11</v>
      </c>
      <c r="B14" s="8"/>
      <c r="C14" s="8"/>
      <c r="D14" s="8"/>
      <c r="E14" s="8"/>
      <c r="F14" s="8"/>
    </row>
    <row r="15" customFormat="false" ht="18.75" hidden="false" customHeight="true" outlineLevel="0" collapsed="false">
      <c r="A15" s="9" t="n">
        <v>12</v>
      </c>
      <c r="B15" s="11"/>
      <c r="C15" s="11"/>
      <c r="D15" s="11"/>
      <c r="E15" s="11"/>
      <c r="F15" s="11"/>
    </row>
    <row r="16" customFormat="false" ht="18.75" hidden="false" customHeight="true" outlineLevel="0" collapsed="false">
      <c r="A16" s="6" t="n">
        <v>13</v>
      </c>
      <c r="B16" s="8"/>
      <c r="C16" s="8"/>
      <c r="D16" s="8"/>
      <c r="E16" s="8"/>
      <c r="F16" s="8"/>
    </row>
    <row r="17" customFormat="false" ht="18.75" hidden="false" customHeight="true" outlineLevel="0" collapsed="false">
      <c r="A17" s="9" t="n">
        <v>14</v>
      </c>
      <c r="B17" s="11"/>
      <c r="C17" s="11"/>
      <c r="D17" s="11"/>
      <c r="E17" s="11"/>
      <c r="F17" s="11"/>
    </row>
    <row r="18" customFormat="false" ht="18.75" hidden="false" customHeight="true" outlineLevel="0" collapsed="false">
      <c r="A18" s="6" t="n">
        <v>15</v>
      </c>
      <c r="B18" s="8"/>
      <c r="C18" s="8"/>
      <c r="D18" s="8"/>
      <c r="E18" s="8"/>
      <c r="F18" s="8"/>
    </row>
    <row r="19" customFormat="false" ht="18.75" hidden="false" customHeight="true" outlineLevel="0" collapsed="false">
      <c r="A19" s="9" t="n">
        <v>16</v>
      </c>
      <c r="B19" s="11"/>
      <c r="C19" s="11"/>
      <c r="D19" s="11"/>
      <c r="E19" s="11"/>
      <c r="F19" s="11"/>
    </row>
    <row r="20" customFormat="false" ht="18.75" hidden="false" customHeight="true" outlineLevel="0" collapsed="false">
      <c r="A20" s="6" t="n">
        <v>17</v>
      </c>
      <c r="B20" s="8"/>
      <c r="C20" s="8"/>
      <c r="D20" s="8"/>
      <c r="E20" s="8"/>
      <c r="F20" s="8"/>
    </row>
    <row r="21" customFormat="false" ht="18.75" hidden="false" customHeight="true" outlineLevel="0" collapsed="false">
      <c r="A21" s="9" t="n">
        <v>18</v>
      </c>
      <c r="B21" s="11"/>
      <c r="C21" s="11"/>
      <c r="D21" s="11"/>
      <c r="E21" s="11"/>
      <c r="F21" s="11"/>
    </row>
    <row r="22" customFormat="false" ht="18.75" hidden="false" customHeight="true" outlineLevel="0" collapsed="false">
      <c r="A22" s="6" t="n">
        <v>19</v>
      </c>
      <c r="B22" s="8"/>
      <c r="C22" s="8"/>
      <c r="D22" s="8"/>
      <c r="E22" s="8"/>
      <c r="F22" s="8"/>
    </row>
    <row r="23" customFormat="false" ht="18.75" hidden="false" customHeight="true" outlineLevel="0" collapsed="false">
      <c r="A23" s="9" t="n">
        <v>20</v>
      </c>
      <c r="B23" s="11"/>
      <c r="C23" s="11"/>
      <c r="D23" s="11"/>
      <c r="E23" s="11"/>
      <c r="F23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"/>
  </cols>
  <sheetData>
    <row r="1" customFormat="false" ht="30" hidden="false" customHeight="true" outlineLevel="0" collapsed="false">
      <c r="A1" s="1" t="s">
        <v>34</v>
      </c>
      <c r="B1" s="1"/>
      <c r="C1" s="1"/>
      <c r="D1" s="1"/>
    </row>
    <row r="3" customFormat="false" ht="21.75" hidden="false" customHeight="true" outlineLevel="0" collapsed="false">
      <c r="A3" s="18" t="s">
        <v>35</v>
      </c>
      <c r="B3" s="18"/>
      <c r="C3" s="18"/>
      <c r="D3" s="18"/>
    </row>
    <row r="4" customFormat="false" ht="18.75" hidden="false" customHeight="true" outlineLevel="0" collapsed="false">
      <c r="B4" s="19" t="s">
        <v>36</v>
      </c>
      <c r="C4" s="20" t="n">
        <f aca="false">'Daily Sales'!D35</f>
        <v>0</v>
      </c>
    </row>
    <row r="5" customFormat="false" ht="18.75" hidden="false" customHeight="true" outlineLevel="0" collapsed="false">
      <c r="B5" s="19" t="s">
        <v>37</v>
      </c>
      <c r="C5" s="20" t="n">
        <f aca="false">'Daily Sales'!E35</f>
        <v>0</v>
      </c>
    </row>
    <row r="6" customFormat="false" ht="25.5" hidden="false" customHeight="true" outlineLevel="0" collapsed="false">
      <c r="B6" s="21" t="s">
        <v>38</v>
      </c>
      <c r="C6" s="22" t="n">
        <f aca="false">'Daily Sales'!F35</f>
        <v>0</v>
      </c>
    </row>
    <row r="8" customFormat="false" ht="18.75" hidden="false" customHeight="true" outlineLevel="0" collapsed="false">
      <c r="B8" s="19" t="s">
        <v>39</v>
      </c>
      <c r="C8" s="23" t="n">
        <f aca="false">COUNTIF('Stock &amp; Reorder'!H4:H43,"REORDER NOW")</f>
        <v>0</v>
      </c>
    </row>
    <row r="9" customFormat="false" ht="18.75" hidden="false" customHeight="true" outlineLevel="0" collapsed="false">
      <c r="B9" s="19" t="s">
        <v>40</v>
      </c>
      <c r="C9" s="23" t="n">
        <f aca="false">COUNTIF('Stock &amp; Reorder'!H4:H43,"OUT OF STOCK")</f>
        <v>0</v>
      </c>
    </row>
    <row r="10" customFormat="false" ht="18.75" hidden="false" customHeight="true" outlineLevel="0" collapsed="false">
      <c r="B10" s="19" t="s">
        <v>41</v>
      </c>
      <c r="C10" s="20" t="n">
        <f aca="false">'Stock &amp; Reorder'!E44</f>
        <v>0</v>
      </c>
    </row>
    <row r="13" customFormat="false" ht="27.75" hidden="false" customHeight="true" outlineLevel="0" collapsed="false">
      <c r="A13" s="2" t="s">
        <v>42</v>
      </c>
      <c r="B13" s="2"/>
      <c r="C13" s="2"/>
      <c r="D13" s="2"/>
    </row>
  </sheetData>
  <mergeCells count="3">
    <mergeCell ref="A1:D1"/>
    <mergeCell ref="A3:D3"/>
    <mergeCell ref="A13:D13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2026-09-14T19:01:47Z</dcterms:created>
  <dc:creator>openpyxl</dc:creator>
  <dc:description/>
  <dc:language>en-US</dc:language>
  <cp:lastModifiedBy/>
  <dcterms:modified xsi:type="dcterms:W3CDTF">2026-09-14T19:01:47Z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