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ock Track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<sst xmlns="http://schemas.openxmlformats.org/spreadsheetml/2006/main" count="19" uniqueCount="19">
  <si>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STOCK / INVENTORY TRACKER</t>
  </si>
  <si>
    <t xml:space="preserve">Track your products, quantities, and values. Get alerts when stock runs low. Blue cells are for you to fill in.</t>
  </si>
  <si>
    <t xml:space="preserve">Business:</t>
  </si>
  <si>
    <t xml:space="preserve">[Your Business Name]</t>
  </si>
  <si>
    <t xml:space="preserve">Date:</t>
  </si>
  <si>
    <t xml:space="preserve">[DD/MM/YYYY]</t>
  </si>
  <si>
    <t xml:space="preserve">Item Code</t>
  </si>
  <si>
    <t xml:space="preserve">Product Name</t>
  </si>
  <si>
    <t xml:space="preserve">Category</t>
  </si>
  <si>
    <t xml:space="preserve">In Stock</t>
  </si>
  <si>
    <t xml:space="preserve">Min Level</t>
  </si>
  <si>
    <t xml:space="preserve">Unit Cost (R)</t>
  </si>
  <si>
    <t xml:space="preserve">Sell Price (R)</t>
  </si>
  <si>
    <t xml:space="preserve">Stock Value (R)</t>
  </si>
  <si>
    <t xml:space="preserve">Status</t>
  </si>
  <si>
    <t xml:space="preserve">TOTAL STOCK VALUE:</t>
  </si>
  <si>
    <t xml:space="preserve">ITEMS LOW / OUT OF STOCK:</t>
  </si>
  <si>
    <t xml:space="preserve">TOTAL PRODUCTS:</t>
  </si>
  <si>
    <t xml:space="preserve">Tip: Set a "Min Level" for each product. When stock drops to or below it, the Status turns orange (LOW) or red (OUT) so you know to reorder.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</si>
</sst>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"/>
    <numFmt numFmtId="167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2563EB"/>
      <name val="Arial"/>
      <family val="0"/>
      <charset val="1"/>
    </font>
    <font>
      <sz val="10"/>
      <color rgb="FF64748B"/>
      <name val="Arial"/>
      <family val="0"/>
      <charset val="1"/>
    </font>
    <font>
      <b val="true"/>
      <sz val="10"/>
      <color rgb="FF1E293B"/>
      <name val="Arial"/>
      <family val="0"/>
      <charset val="1"/>
    </font>
    <font>
      <sz val="10"/>
      <color rgb="FF2563E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1"/>
      <color rgb="FF1E293B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DC2626"/>
      <name val="Arial"/>
      <family val="0"/>
      <charset val="1"/>
    </font>
    <font>
      <b val="true"/>
      <sz val="11"/>
      <color rgb="FF2563EB"/>
      <name val="Arial"/>
      <family val="0"/>
      <charset val="1"/>
    </font>
    <font>
      <sz val="9"/>
      <color rgb="FF64748B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  <fill>
      <patternFill patternType="solid">
        <fgColor rgb="FF1E293B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16A34A"/>
      </font>
      <fill>
        <patternFill>
          <bgColor rgb="FFDCFCE7"/>
        </patternFill>
      </fill>
    </dxf>
    <dxf>
      <font>
        <b val="1"/>
        <color rgb="FFEA580C"/>
      </font>
      <fill>
        <patternFill>
          <bgColor rgb="FFFEF3C7"/>
        </patternFill>
      </fill>
    </dxf>
    <dxf>
      <font>
        <b val="1"/>
        <color rgb="FFDC2626"/>
      </font>
      <fill>
        <patternFill>
          <bgColor rgb="FFFEE2E2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E2E2"/>
      <rgbColor rgb="FF2563EB"/>
      <rgbColor rgb="FF33CCCC"/>
      <rgbColor rgb="FF99CC00"/>
      <rgbColor rgb="FFFFCC00"/>
      <rgbColor rgb="FFFF9900"/>
      <rgbColor rgb="FFEA580C"/>
      <rgbColor rgb="FF64748B"/>
      <rgbColor rgb="FF969696"/>
      <rgbColor rgb="FF003366"/>
      <rgbColor rgb="FF16A34A"/>
      <rgbColor rgb="FF003300"/>
      <rgbColor rgb="FF333300"/>
      <rgbColor rgb="FF993300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28"/>
    <col collapsed="false" customWidth="true" hidden="false" outlineLevel="0" max="6" min="4" style="0" width="12"/>
    <col collapsed="false" customWidth="true" hidden="false" outlineLevel="0" max="9" min="7" style="0" width="14"/>
    <col collapsed="false" customWidth="true" hidden="false" outlineLevel="0" max="10" min="10" style="0" width="16"/>
  </cols>
  <sheetData>
    <row r="2" customFormat="false" ht="24.45" hidden="false" customHeight="false" outlineLevel="0" collapsed="false">
      <c r="B2" s="1" t="s">
        <v>0</v>
      </c>
      <c r="C2" s="1"/>
      <c r="D2" s="1"/>
      <c r="E2" s="1"/>
      <c r="F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3" t="s">
        <v>2</v>
      </c>
      <c r="C5" s="4" t="s">
        <v>3</v>
      </c>
      <c r="G5" s="5" t="s">
        <v>4</v>
      </c>
      <c r="H5" s="4" t="s">
        <v>5</v>
      </c>
    </row>
    <row r="7" customFormat="false" ht="25.5" hidden="false" customHeight="true" outlineLevel="0" collapsed="false">
      <c r="B7" s="6" t="s">
        <v>6</v>
      </c>
      <c r="C7" s="7" t="s">
        <v>7</v>
      </c>
      <c r="D7" s="6" t="s">
        <v>8</v>
      </c>
      <c r="E7" s="6" t="s">
        <v>9</v>
      </c>
      <c r="F7" s="6" t="s">
        <v>10</v>
      </c>
      <c r="G7" s="6" t="s">
        <v>11</v>
      </c>
      <c r="H7" s="6" t="s">
        <v>12</v>
      </c>
      <c r="I7" s="6" t="s">
        <v>13</v>
      </c>
      <c r="J7" s="6" t="s">
        <v>14</v>
      </c>
    </row>
    <row r="8" customFormat="false" ht="15" hidden="false" customHeight="false" outlineLevel="0" collapsed="false">
      <c r="B8" s="8"/>
      <c r="C8" s="9"/>
      <c r="D8" s="8"/>
      <c r="E8" s="10"/>
      <c r="F8" s="10"/>
      <c r="G8" s="11"/>
      <c r="H8" s="11"/>
      <c r="I8" s="12" t="str">
        <f aca="false">IF(AND(E8&lt;&gt;"",G8&lt;&gt;""),E8*G8,"")</f>
        <v/>
      </c>
      <c r="J8" s="13" t="str">
        <f aca="false">IF(E8="","",IF(E8=0,"OUT OF STOCK",IF(E8&lt;=F8,"LOW STOCK","IN STOCK")))</f>
        <v/>
      </c>
    </row>
    <row r="9" customFormat="false" ht="15" hidden="false" customHeight="false" outlineLevel="0" collapsed="false">
      <c r="B9" s="8"/>
      <c r="C9" s="9"/>
      <c r="D9" s="8"/>
      <c r="E9" s="10"/>
      <c r="F9" s="10"/>
      <c r="G9" s="11"/>
      <c r="H9" s="11"/>
      <c r="I9" s="12" t="str">
        <f aca="false">IF(AND(E9&lt;&gt;"",G9&lt;&gt;""),E9*G9,"")</f>
        <v/>
      </c>
      <c r="J9" s="13" t="str">
        <f aca="false">IF(E9="","",IF(E9=0,"OUT OF STOCK",IF(E9&lt;=F9,"LOW STOCK","IN STOCK")))</f>
        <v/>
      </c>
    </row>
    <row r="10" customFormat="false" ht="15" hidden="false" customHeight="false" outlineLevel="0" collapsed="false">
      <c r="B10" s="8"/>
      <c r="C10" s="9"/>
      <c r="D10" s="8"/>
      <c r="E10" s="10"/>
      <c r="F10" s="10"/>
      <c r="G10" s="11"/>
      <c r="H10" s="11"/>
      <c r="I10" s="12" t="str">
        <f aca="false">IF(AND(E10&lt;&gt;"",G10&lt;&gt;""),E10*G10,"")</f>
        <v/>
      </c>
      <c r="J10" s="13" t="str">
        <f aca="false">IF(E10="","",IF(E10=0,"OUT OF STOCK",IF(E10&lt;=F10,"LOW STOCK","IN STOCK")))</f>
        <v/>
      </c>
    </row>
    <row r="11" customFormat="false" ht="15" hidden="false" customHeight="false" outlineLevel="0" collapsed="false">
      <c r="B11" s="8"/>
      <c r="C11" s="9"/>
      <c r="D11" s="8"/>
      <c r="E11" s="10"/>
      <c r="F11" s="10"/>
      <c r="G11" s="11"/>
      <c r="H11" s="11"/>
      <c r="I11" s="12" t="str">
        <f aca="false">IF(AND(E11&lt;&gt;"",G11&lt;&gt;""),E11*G11,"")</f>
        <v/>
      </c>
      <c r="J11" s="13" t="str">
        <f aca="false">IF(E11="","",IF(E11=0,"OUT OF STOCK",IF(E11&lt;=F11,"LOW STOCK","IN STOCK")))</f>
        <v/>
      </c>
    </row>
    <row r="12" customFormat="false" ht="15" hidden="false" customHeight="false" outlineLevel="0" collapsed="false">
      <c r="B12" s="8"/>
      <c r="C12" s="9"/>
      <c r="D12" s="8"/>
      <c r="E12" s="10"/>
      <c r="F12" s="10"/>
      <c r="G12" s="11"/>
      <c r="H12" s="11"/>
      <c r="I12" s="12" t="str">
        <f aca="false">IF(AND(E12&lt;&gt;"",G12&lt;&gt;""),E12*G12,"")</f>
        <v/>
      </c>
      <c r="J12" s="13" t="str">
        <f aca="false">IF(E12="","",IF(E12=0,"OUT OF STOCK",IF(E12&lt;=F12,"LOW STOCK","IN STOCK")))</f>
        <v/>
      </c>
    </row>
    <row r="13" customFormat="false" ht="15" hidden="false" customHeight="false" outlineLevel="0" collapsed="false">
      <c r="B13" s="8"/>
      <c r="C13" s="9"/>
      <c r="D13" s="8"/>
      <c r="E13" s="10"/>
      <c r="F13" s="10"/>
      <c r="G13" s="11"/>
      <c r="H13" s="11"/>
      <c r="I13" s="12" t="str">
        <f aca="false">IF(AND(E13&lt;&gt;"",G13&lt;&gt;""),E13*G13,"")</f>
        <v/>
      </c>
      <c r="J13" s="13" t="str">
        <f aca="false">IF(E13="","",IF(E13=0,"OUT OF STOCK",IF(E13&lt;=F13,"LOW STOCK","IN STOCK")))</f>
        <v/>
      </c>
    </row>
    <row r="14" customFormat="false" ht="15" hidden="false" customHeight="false" outlineLevel="0" collapsed="false">
      <c r="B14" s="8"/>
      <c r="C14" s="9"/>
      <c r="D14" s="8"/>
      <c r="E14" s="10"/>
      <c r="F14" s="10"/>
      <c r="G14" s="11"/>
      <c r="H14" s="11"/>
      <c r="I14" s="12" t="str">
        <f aca="false">IF(AND(E14&lt;&gt;"",G14&lt;&gt;""),E14*G14,"")</f>
        <v/>
      </c>
      <c r="J14" s="13" t="str">
        <f aca="false">IF(E14="","",IF(E14=0,"OUT OF STOCK",IF(E14&lt;=F14,"LOW STOCK","IN STOCK")))</f>
        <v/>
      </c>
    </row>
    <row r="15" customFormat="false" ht="15" hidden="false" customHeight="false" outlineLevel="0" collapsed="false">
      <c r="B15" s="8"/>
      <c r="C15" s="9"/>
      <c r="D15" s="8"/>
      <c r="E15" s="10"/>
      <c r="F15" s="10"/>
      <c r="G15" s="11"/>
      <c r="H15" s="11"/>
      <c r="I15" s="12" t="str">
        <f aca="false">IF(AND(E15&lt;&gt;"",G15&lt;&gt;""),E15*G15,"")</f>
        <v/>
      </c>
      <c r="J15" s="13" t="str">
        <f aca="false">IF(E15="","",IF(E15=0,"OUT OF STOCK",IF(E15&lt;=F15,"LOW STOCK","IN STOCK")))</f>
        <v/>
      </c>
    </row>
    <row r="16" customFormat="false" ht="15" hidden="false" customHeight="false" outlineLevel="0" collapsed="false">
      <c r="B16" s="8"/>
      <c r="C16" s="9"/>
      <c r="D16" s="8"/>
      <c r="E16" s="10"/>
      <c r="F16" s="10"/>
      <c r="G16" s="11"/>
      <c r="H16" s="11"/>
      <c r="I16" s="12" t="str">
        <f aca="false">IF(AND(E16&lt;&gt;"",G16&lt;&gt;""),E16*G16,"")</f>
        <v/>
      </c>
      <c r="J16" s="13" t="str">
        <f aca="false">IF(E16="","",IF(E16=0,"OUT OF STOCK",IF(E16&lt;=F16,"LOW STOCK","IN STOCK")))</f>
        <v/>
      </c>
    </row>
    <row r="17" customFormat="false" ht="15" hidden="false" customHeight="false" outlineLevel="0" collapsed="false">
      <c r="B17" s="8"/>
      <c r="C17" s="9"/>
      <c r="D17" s="8"/>
      <c r="E17" s="10"/>
      <c r="F17" s="10"/>
      <c r="G17" s="11"/>
      <c r="H17" s="11"/>
      <c r="I17" s="12" t="str">
        <f aca="false">IF(AND(E17&lt;&gt;"",G17&lt;&gt;""),E17*G17,"")</f>
        <v/>
      </c>
      <c r="J17" s="13" t="str">
        <f aca="false">IF(E17="","",IF(E17=0,"OUT OF STOCK",IF(E17&lt;=F17,"LOW STOCK","IN STOCK")))</f>
        <v/>
      </c>
    </row>
    <row r="18" customFormat="false" ht="15" hidden="false" customHeight="false" outlineLevel="0" collapsed="false">
      <c r="B18" s="8"/>
      <c r="C18" s="9"/>
      <c r="D18" s="8"/>
      <c r="E18" s="10"/>
      <c r="F18" s="10"/>
      <c r="G18" s="11"/>
      <c r="H18" s="11"/>
      <c r="I18" s="12" t="str">
        <f aca="false">IF(AND(E18&lt;&gt;"",G18&lt;&gt;""),E18*G18,"")</f>
        <v/>
      </c>
      <c r="J18" s="13" t="str">
        <f aca="false">IF(E18="","",IF(E18=0,"OUT OF STOCK",IF(E18&lt;=F18,"LOW STOCK","IN STOCK")))</f>
        <v/>
      </c>
    </row>
    <row r="19" customFormat="false" ht="15" hidden="false" customHeight="false" outlineLevel="0" collapsed="false">
      <c r="B19" s="8"/>
      <c r="C19" s="9"/>
      <c r="D19" s="8"/>
      <c r="E19" s="10"/>
      <c r="F19" s="10"/>
      <c r="G19" s="11"/>
      <c r="H19" s="11"/>
      <c r="I19" s="12" t="str">
        <f aca="false">IF(AND(E19&lt;&gt;"",G19&lt;&gt;""),E19*G19,"")</f>
        <v/>
      </c>
      <c r="J19" s="13" t="str">
        <f aca="false">IF(E19="","",IF(E19=0,"OUT OF STOCK",IF(E19&lt;=F19,"LOW STOCK","IN STOCK")))</f>
        <v/>
      </c>
    </row>
    <row r="20" customFormat="false" ht="15" hidden="false" customHeight="false" outlineLevel="0" collapsed="false">
      <c r="B20" s="8"/>
      <c r="C20" s="9"/>
      <c r="D20" s="8"/>
      <c r="E20" s="10"/>
      <c r="F20" s="10"/>
      <c r="G20" s="11"/>
      <c r="H20" s="11"/>
      <c r="I20" s="12" t="str">
        <f aca="false">IF(AND(E20&lt;&gt;"",G20&lt;&gt;""),E20*G20,"")</f>
        <v/>
      </c>
      <c r="J20" s="13" t="str">
        <f aca="false">IF(E20="","",IF(E20=0,"OUT OF STOCK",IF(E20&lt;=F20,"LOW STOCK","IN STOCK")))</f>
        <v/>
      </c>
    </row>
    <row r="21" customFormat="false" ht="15" hidden="false" customHeight="false" outlineLevel="0" collapsed="false">
      <c r="B21" s="8"/>
      <c r="C21" s="9"/>
      <c r="D21" s="8"/>
      <c r="E21" s="10"/>
      <c r="F21" s="10"/>
      <c r="G21" s="11"/>
      <c r="H21" s="11"/>
      <c r="I21" s="12" t="str">
        <f aca="false">IF(AND(E21&lt;&gt;"",G21&lt;&gt;""),E21*G21,"")</f>
        <v/>
      </c>
      <c r="J21" s="13" t="str">
        <f aca="false">IF(E21="","",IF(E21=0,"OUT OF STOCK",IF(E21&lt;=F21,"LOW STOCK","IN STOCK")))</f>
        <v/>
      </c>
    </row>
    <row r="22" customFormat="false" ht="15" hidden="false" customHeight="false" outlineLevel="0" collapsed="false">
      <c r="B22" s="8"/>
      <c r="C22" s="9"/>
      <c r="D22" s="8"/>
      <c r="E22" s="10"/>
      <c r="F22" s="10"/>
      <c r="G22" s="11"/>
      <c r="H22" s="11"/>
      <c r="I22" s="12" t="str">
        <f aca="false">IF(AND(E22&lt;&gt;"",G22&lt;&gt;""),E22*G22,"")</f>
        <v/>
      </c>
      <c r="J22" s="13" t="str">
        <f aca="false">IF(E22="","",IF(E22=0,"OUT OF STOCK",IF(E22&lt;=F22,"LOW STOCK","IN STOCK")))</f>
        <v/>
      </c>
    </row>
    <row r="23" customFormat="false" ht="15" hidden="false" customHeight="false" outlineLevel="0" collapsed="false">
      <c r="B23" s="8"/>
      <c r="C23" s="9"/>
      <c r="D23" s="8"/>
      <c r="E23" s="10"/>
      <c r="F23" s="10"/>
      <c r="G23" s="11"/>
      <c r="H23" s="11"/>
      <c r="I23" s="12" t="str">
        <f aca="false">IF(AND(E23&lt;&gt;"",G23&lt;&gt;""),E23*G23,"")</f>
        <v/>
      </c>
      <c r="J23" s="13" t="str">
        <f aca="false">IF(E23="","",IF(E23=0,"OUT OF STOCK",IF(E23&lt;=F23,"LOW STOCK","IN STOCK")))</f>
        <v/>
      </c>
    </row>
    <row r="24" customFormat="false" ht="15" hidden="false" customHeight="false" outlineLevel="0" collapsed="false">
      <c r="B24" s="8"/>
      <c r="C24" s="9"/>
      <c r="D24" s="8"/>
      <c r="E24" s="10"/>
      <c r="F24" s="10"/>
      <c r="G24" s="11"/>
      <c r="H24" s="11"/>
      <c r="I24" s="12" t="str">
        <f aca="false">IF(AND(E24&lt;&gt;"",G24&lt;&gt;""),E24*G24,"")</f>
        <v/>
      </c>
      <c r="J24" s="13" t="str">
        <f aca="false">IF(E24="","",IF(E24=0,"OUT OF STOCK",IF(E24&lt;=F24,"LOW STOCK","IN STOCK")))</f>
        <v/>
      </c>
    </row>
    <row r="25" customFormat="false" ht="15" hidden="false" customHeight="false" outlineLevel="0" collapsed="false">
      <c r="B25" s="8"/>
      <c r="C25" s="9"/>
      <c r="D25" s="8"/>
      <c r="E25" s="10"/>
      <c r="F25" s="10"/>
      <c r="G25" s="11"/>
      <c r="H25" s="11"/>
      <c r="I25" s="12" t="str">
        <f aca="false">IF(AND(E25&lt;&gt;"",G25&lt;&gt;""),E25*G25,"")</f>
        <v/>
      </c>
      <c r="J25" s="13" t="str">
        <f aca="false">IF(E25="","",IF(E25=0,"OUT OF STOCK",IF(E25&lt;=F25,"LOW STOCK","IN STOCK")))</f>
        <v/>
      </c>
    </row>
    <row r="26" customFormat="false" ht="15" hidden="false" customHeight="false" outlineLevel="0" collapsed="false">
      <c r="B26" s="8"/>
      <c r="C26" s="9"/>
      <c r="D26" s="8"/>
      <c r="E26" s="10"/>
      <c r="F26" s="10"/>
      <c r="G26" s="11"/>
      <c r="H26" s="11"/>
      <c r="I26" s="12" t="str">
        <f aca="false">IF(AND(E26&lt;&gt;"",G26&lt;&gt;""),E26*G26,"")</f>
        <v/>
      </c>
      <c r="J26" s="13" t="str">
        <f aca="false">IF(E26="","",IF(E26=0,"OUT OF STOCK",IF(E26&lt;=F26,"LOW STOCK","IN STOCK")))</f>
        <v/>
      </c>
    </row>
    <row r="27" customFormat="false" ht="15" hidden="false" customHeight="false" outlineLevel="0" collapsed="false">
      <c r="B27" s="8"/>
      <c r="C27" s="9"/>
      <c r="D27" s="8"/>
      <c r="E27" s="10"/>
      <c r="F27" s="10"/>
      <c r="G27" s="11"/>
      <c r="H27" s="11"/>
      <c r="I27" s="12" t="str">
        <f aca="false">IF(AND(E27&lt;&gt;"",G27&lt;&gt;""),E27*G27,"")</f>
        <v/>
      </c>
      <c r="J27" s="13" t="str">
        <f aca="false">IF(E27="","",IF(E27=0,"OUT OF STOCK",IF(E27&lt;=F27,"LOW STOCK","IN STOCK")))</f>
        <v/>
      </c>
    </row>
    <row r="28" customFormat="false" ht="15" hidden="false" customHeight="false" outlineLevel="0" collapsed="false">
      <c r="B28" s="8"/>
      <c r="C28" s="9"/>
      <c r="D28" s="8"/>
      <c r="E28" s="10"/>
      <c r="F28" s="10"/>
      <c r="G28" s="11"/>
      <c r="H28" s="11"/>
      <c r="I28" s="12" t="str">
        <f aca="false">IF(AND(E28&lt;&gt;"",G28&lt;&gt;""),E28*G28,"")</f>
        <v/>
      </c>
      <c r="J28" s="13" t="str">
        <f aca="false">IF(E28="","",IF(E28=0,"OUT OF STOCK",IF(E28&lt;=F28,"LOW STOCK","IN STOCK")))</f>
        <v/>
      </c>
    </row>
    <row r="29" customFormat="false" ht="15" hidden="false" customHeight="false" outlineLevel="0" collapsed="false">
      <c r="B29" s="8"/>
      <c r="C29" s="9"/>
      <c r="D29" s="8"/>
      <c r="E29" s="10"/>
      <c r="F29" s="10"/>
      <c r="G29" s="11"/>
      <c r="H29" s="11"/>
      <c r="I29" s="12" t="str">
        <f aca="false">IF(AND(E29&lt;&gt;"",G29&lt;&gt;""),E29*G29,"")</f>
        <v/>
      </c>
      <c r="J29" s="13" t="str">
        <f aca="false">IF(E29="","",IF(E29=0,"OUT OF STOCK",IF(E29&lt;=F29,"LOW STOCK","IN STOCK")))</f>
        <v/>
      </c>
    </row>
    <row r="30" customFormat="false" ht="15" hidden="false" customHeight="false" outlineLevel="0" collapsed="false">
      <c r="B30" s="8"/>
      <c r="C30" s="9"/>
      <c r="D30" s="8"/>
      <c r="E30" s="10"/>
      <c r="F30" s="10"/>
      <c r="G30" s="11"/>
      <c r="H30" s="11"/>
      <c r="I30" s="12" t="str">
        <f aca="false">IF(AND(E30&lt;&gt;"",G30&lt;&gt;""),E30*G30,"")</f>
        <v/>
      </c>
      <c r="J30" s="13" t="str">
        <f aca="false">IF(E30="","",IF(E30=0,"OUT OF STOCK",IF(E30&lt;=F30,"LOW STOCK","IN STOCK")))</f>
        <v/>
      </c>
    </row>
    <row r="31" customFormat="false" ht="15" hidden="false" customHeight="false" outlineLevel="0" collapsed="false">
      <c r="B31" s="8"/>
      <c r="C31" s="9"/>
      <c r="D31" s="8"/>
      <c r="E31" s="10"/>
      <c r="F31" s="10"/>
      <c r="G31" s="11"/>
      <c r="H31" s="11"/>
      <c r="I31" s="12" t="str">
        <f aca="false">IF(AND(E31&lt;&gt;"",G31&lt;&gt;""),E31*G31,"")</f>
        <v/>
      </c>
      <c r="J31" s="13" t="str">
        <f aca="false">IF(E31="","",IF(E31=0,"OUT OF STOCK",IF(E31&lt;=F31,"LOW STOCK","IN STOCK")))</f>
        <v/>
      </c>
    </row>
    <row r="32" customFormat="false" ht="15" hidden="false" customHeight="false" outlineLevel="0" collapsed="false">
      <c r="B32" s="8"/>
      <c r="C32" s="9"/>
      <c r="D32" s="8"/>
      <c r="E32" s="10"/>
      <c r="F32" s="10"/>
      <c r="G32" s="11"/>
      <c r="H32" s="11"/>
      <c r="I32" s="12" t="str">
        <f aca="false">IF(AND(E32&lt;&gt;"",G32&lt;&gt;""),E32*G32,"")</f>
        <v/>
      </c>
      <c r="J32" s="13" t="str">
        <f aca="false">IF(E32="","",IF(E32=0,"OUT OF STOCK",IF(E32&lt;=F32,"LOW STOCK","IN STOCK")))</f>
        <v/>
      </c>
    </row>
    <row r="33" customFormat="false" ht="15" hidden="false" customHeight="false" outlineLevel="0" collapsed="false">
      <c r="B33" s="8"/>
      <c r="C33" s="9"/>
      <c r="D33" s="8"/>
      <c r="E33" s="10"/>
      <c r="F33" s="10"/>
      <c r="G33" s="11"/>
      <c r="H33" s="11"/>
      <c r="I33" s="12" t="str">
        <f aca="false">IF(AND(E33&lt;&gt;"",G33&lt;&gt;""),E33*G33,"")</f>
        <v/>
      </c>
      <c r="J33" s="13" t="str">
        <f aca="false">IF(E33="","",IF(E33=0,"OUT OF STOCK",IF(E33&lt;=F33,"LOW STOCK","IN STOCK")))</f>
        <v/>
      </c>
    </row>
    <row r="34" customFormat="false" ht="15" hidden="false" customHeight="false" outlineLevel="0" collapsed="false">
      <c r="B34" s="8"/>
      <c r="C34" s="9"/>
      <c r="D34" s="8"/>
      <c r="E34" s="10"/>
      <c r="F34" s="10"/>
      <c r="G34" s="11"/>
      <c r="H34" s="11"/>
      <c r="I34" s="12" t="str">
        <f aca="false">IF(AND(E34&lt;&gt;"",G34&lt;&gt;""),E34*G34,"")</f>
        <v/>
      </c>
      <c r="J34" s="13" t="str">
        <f aca="false">IF(E34="","",IF(E34=0,"OUT OF STOCK",IF(E34&lt;=F34,"LOW STOCK","IN STOCK")))</f>
        <v/>
      </c>
    </row>
    <row r="35" customFormat="false" ht="15" hidden="false" customHeight="false" outlineLevel="0" collapsed="false">
      <c r="B35" s="8"/>
      <c r="C35" s="9"/>
      <c r="D35" s="8"/>
      <c r="E35" s="10"/>
      <c r="F35" s="10"/>
      <c r="G35" s="11"/>
      <c r="H35" s="11"/>
      <c r="I35" s="12" t="str">
        <f aca="false">IF(AND(E35&lt;&gt;"",G35&lt;&gt;""),E35*G35,"")</f>
        <v/>
      </c>
      <c r="J35" s="13" t="str">
        <f aca="false">IF(E35="","",IF(E35=0,"OUT OF STOCK",IF(E35&lt;=F35,"LOW STOCK","IN STOCK")))</f>
        <v/>
      </c>
    </row>
    <row r="36" customFormat="false" ht="15" hidden="false" customHeight="false" outlineLevel="0" collapsed="false">
      <c r="B36" s="8"/>
      <c r="C36" s="9"/>
      <c r="D36" s="8"/>
      <c r="E36" s="10"/>
      <c r="F36" s="10"/>
      <c r="G36" s="11"/>
      <c r="H36" s="11"/>
      <c r="I36" s="12" t="str">
        <f aca="false">IF(AND(E36&lt;&gt;"",G36&lt;&gt;""),E36*G36,"")</f>
        <v/>
      </c>
      <c r="J36" s="13" t="str">
        <f aca="false">IF(E36="","",IF(E36=0,"OUT OF STOCK",IF(E36&lt;=F36,"LOW STOCK","IN STOCK")))</f>
        <v/>
      </c>
    </row>
    <row r="37" customFormat="false" ht="15" hidden="false" customHeight="false" outlineLevel="0" collapsed="false">
      <c r="B37" s="8"/>
      <c r="C37" s="9"/>
      <c r="D37" s="8"/>
      <c r="E37" s="10"/>
      <c r="F37" s="10"/>
      <c r="G37" s="11"/>
      <c r="H37" s="11"/>
      <c r="I37" s="12" t="str">
        <f aca="false">IF(AND(E37&lt;&gt;"",G37&lt;&gt;""),E37*G37,"")</f>
        <v/>
      </c>
      <c r="J37" s="13" t="str">
        <f aca="false">IF(E37="","",IF(E37=0,"OUT OF STOCK",IF(E37&lt;=F37,"LOW STOCK","IN STOCK")))</f>
        <v/>
      </c>
    </row>
    <row r="39" customFormat="false" ht="15" hidden="false" customHeight="false" outlineLevel="0" collapsed="false">
      <c r="C39" s="14" t="s">
        <v>15</v>
      </c>
      <c r="I39" s="15" t="n">
        <f aca="false">SUM(I8:I37)</f>
        <v>0</v>
      </c>
    </row>
    <row r="40" customFormat="false" ht="15" hidden="false" customHeight="false" outlineLevel="0" collapsed="false">
      <c r="C40" s="14" t="s">
        <v>16</v>
      </c>
      <c r="I40" s="16" t="n">
        <f aca="false">COUNTIF(J8:J37,"LOW STOCK")+COUNTIF(J8:J37,"OUT OF STOCK")</f>
        <v>0</v>
      </c>
    </row>
    <row r="41" customFormat="false" ht="15" hidden="false" customHeight="false" outlineLevel="0" collapsed="false">
      <c r="C41" s="14" t="s">
        <v>17</v>
      </c>
      <c r="I41" s="17" t="n">
        <f aca="false">COUNTA(C8:C37)</f>
        <v>0</v>
      </c>
    </row>
    <row r="43" customFormat="false" ht="15" hidden="false" customHeight="false" outlineLevel="0" collapsed="false">
      <c r="B43" s="18" t="s">
        <v>18</v>
      </c>
    </row>
  </sheetData>
  <mergeCells count="2">
    <mergeCell ref="B2:F2"/>
    <mergeCell ref="B3:J3"/>
  </mergeCells>
  <conditionalFormatting sqref="J8:J37">
    <cfRule type="cellIs" priority="2" operator="equal" aboveAverage="0" equalAverage="0" bottom="0" percent="0" rank="0" text="" dxfId="0">
      <formula>"IN STOCK"</formula>
    </cfRule>
    <cfRule type="cellIs" priority="3" operator="equal" aboveAverage="0" equalAverage="0" bottom="0" percent="0" rank="0" text="" dxfId="1">
      <formula>"LOW STOCK"</formula>
    </cfRule>
    <cfRule type="cellIs" priority="4" operator="equal" aboveAverage="0" equalAverage="0" bottom="0" percent="0" rank="0" text="" dxfId="2">
      <formula>"OUT OF STOCK"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2026-07-04T12:25:35Z</dcterms:created>
  <dc:creator>openpyxl</dc:creator>
  <dc:description/>
  <dc:language>en-US</dc:language>
  <cp:lastModifiedBy/>
  <dcterms:modified xsi:type="dcterms:W3CDTF">2026-07-04T12:25:35Z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